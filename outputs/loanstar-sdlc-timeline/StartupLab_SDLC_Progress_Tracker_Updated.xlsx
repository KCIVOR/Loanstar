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d8c217daa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Info" sheetId="1" r:id="R2e1972180216412e"/>
    <x:sheet xmlns:r="http://schemas.openxmlformats.org/officeDocument/2006/relationships" name="Roles Commitments" sheetId="2" r:id="R83675005dad34673"/>
    <x:sheet xmlns:r="http://schemas.openxmlformats.org/officeDocument/2006/relationships" name="Modules Progress" sheetId="3" r:id="R700b30a975f04a7c"/>
    <x:sheet xmlns:r="http://schemas.openxmlformats.org/officeDocument/2006/relationships" name="Project Summary" sheetId="4" r:id="R61a88b7be6204941"/>
    <x:sheet xmlns:r="http://schemas.openxmlformats.org/officeDocument/2006/relationships" name="SDLC Weight" sheetId="5" r:id="R52c46df7ebc04cb4"/>
    <x:sheet xmlns:r="http://schemas.openxmlformats.org/officeDocument/2006/relationships" name="Gantt Timeline" sheetId="6" r:id="Rf196c21b5d344ffc"/>
    <x:sheet xmlns:r="http://schemas.openxmlformats.org/officeDocument/2006/relationships" name="Reference" sheetId="7" r:id="R5a7599bf06dc4f53"/>
    <x:sheet xmlns:r="http://schemas.openxmlformats.org/officeDocument/2006/relationships" name="Team Update Guidelines" sheetId="8" r:id="R24446af354b1468b"/>
  </x:sheets>
</x:workbook>
</file>

<file path=xl/sharedStrings.xml><?xml version="1.0" encoding="utf-8"?>
<x:sst xmlns:x="http://schemas.openxmlformats.org/spreadsheetml/2006/main">
  <x:si>
    <x:t xml:space="preserve">StartupLab Project SDLC Progress Tracker</x:t>
  </x:si>
  <x:si>
    <x:t xml:space="preserve">Project Info — Overall Progress and Status pull live from Modules Progress.</x:t>
  </x:si>
  <x:si>
    <x:t xml:space="preserve">Project Name</x:t>
  </x:si>
  <x:si>
    <x:t xml:space="preserve">Client</x:t>
  </x:si>
  <x:si>
    <x:t xml:space="preserve">Project Manager</x:t>
  </x:si>
  <x:si>
    <x:t xml:space="preserve">Technical Lead</x:t>
  </x:si>
  <x:si>
    <x:t xml:space="preserve">Start Date</x:t>
  </x:si>
  <x:si>
    <x:t xml:space="preserve">Target Go-Live</x:t>
  </x:si>
  <x:si>
    <x:t xml:space="preserve">Overall Progress</x:t>
  </x:si>
  <x:si>
    <x:t xml:space="preserve">Status</x:t>
  </x:si>
  <x:si>
    <x:t xml:space="preserve">Commercial Real Estate Operations Platform</x:t>
  </x:si>
  <x:si>
    <x:t xml:space="preserve">Scarbrough Management Corporation
</x:t>
  </x:si>
  <x:si>
    <x:t xml:space="preserve">None</x:t>
  </x:si>
  <x:si>
    <x:t xml:space="preserve">Johnrey</x:t>
  </x:si>
  <x:si>
    <x:t xml:space="preserve">POS/Inventory</x:t>
  </x:si>
  <x:si>
    <x:t xml:space="preserve">JN Computer Trading OPC / PautangPC</x:t>
  </x:si>
  <x:si>
    <x:t xml:space="preserve">Andrei</x:t>
  </x:si>
  <x:si>
    <x:t xml:space="preserve">E-Commerce</x:t>
  </x:si>
  <x:si>
    <x:t xml:space="preserve">Pautang PC (upcoming)</x:t>
  </x:si>
  <x:si>
    <x:t xml:space="preserve">LoanStar System</x:t>
  </x:si>
  <x:si>
    <x:t xml:space="preserve">LoanStar</x:t>
  </x:si>
  <x:si>
    <x:t xml:space="preserve">Rovick</x:t>
  </x:si>
  <x:si>
    <x:t xml:space="preserve">Fortune Procurement System</x:t>
  </x:si>
  <x:si>
    <x:t xml:space="preserve">Fortune Packaging</x:t>
  </x:si>
  <x:si>
    <x:t xml:space="preserve">Eventuz</x:t>
  </x:si>
  <x:si>
    <x:t xml:space="preserve">Wedding Ind.</x:t>
  </x:si>
  <x:si>
    <x:t xml:space="preserve">Cleanse&amp;Drip</x:t>
  </x:si>
  <x:si>
    <x:t xml:space="preserve">Max</x:t>
  </x:si>
  <x:si>
    <x:t xml:space="preserve">JD</x:t>
  </x:si>
  <x:si>
    <x:t xml:space="preserve">Cleanse&amp;Drip/ Marketing/Portal</x:t>
  </x:si>
  <x:si>
    <x:t xml:space="preserve">Sept 8, 2026</x:t>
  </x:si>
  <x:si>
    <x:t xml:space="preserve">HRIS</x:t>
  </x:si>
  <x:si>
    <x:t xml:space="preserve">Simply Source</x:t>
  </x:si>
  <x:si>
    <x:t xml:space="preserve">Sept 15, 2026</x:t>
  </x:si>
  <x:si>
    <x:t xml:space="preserve">LMS</x:t>
  </x:si>
  <x:si>
    <x:t xml:space="preserve">Richard</x:t>
  </x:si>
  <x:si>
    <x:t xml:space="preserve">Anna's Project</x:t>
  </x:si>
  <x:si>
    <x:t xml:space="preserve">Anna Sotto</x:t>
  </x:si>
  <x:si>
    <x:t xml:space="preserve">Sheila</x:t>
  </x:si>
  <x:si>
    <x:t xml:space="preserve">StepUp</x:t>
  </x:si>
  <x:si>
    <x:t xml:space="preserve">Ayos</x:t>
  </x:si>
  <x:si>
    <x:t xml:space="preserve">Gov</x:t>
  </x:si>
  <x:si>
    <x:t xml:space="preserve">Maintenance</x:t>
  </x:si>
  <x:si>
    <x:t xml:space="preserve"> PelvicGlobal</x:t>
  </x:si>
  <x:si>
    <x:t xml:space="preserve">POS</x:t>
  </x:si>
  <x:si>
    <x:t xml:space="preserve">Anne</x:t>
  </x:si>
  <x:si>
    <x:t xml:space="preserve">Pelvic enhancement</x:t>
  </x:si>
  <x:si>
    <x:t xml:space="preserve">Opportunities</x:t>
  </x:si>
  <x:si>
    <x:t xml:space="preserve">LMS for startuplab</x:t>
  </x:si>
  <x:si>
    <x:t xml:space="preserve">GP Leadership</x:t>
  </x:si>
  <x:si>
    <x:t xml:space="preserve">Shachar</x:t>
  </x:si>
  <x:si>
    <x:t xml:space="preserve">Note:</x:t>
  </x:si>
  <x:si>
    <x:t xml:space="preserve">Blue = edit here. Overall Progress/Status are formulas — add project rows in Modules Progress to feed them.</x:t>
  </x:si>
  <x:si>
    <x:t xml:space="preserve">Name</x:t>
  </x:si>
  <x:si>
    <x:t xml:space="preserve">Roles</x:t>
  </x:si>
  <x:si>
    <x:t xml:space="preserve">Check status after 1 month 9-6-2026</x:t>
  </x:si>
  <x:si>
    <x:t xml:space="preserve">AI+ Cybersecurity</x:t>
  </x:si>
  <x:si>
    <x:t xml:space="preserve">AI + E-Commerce</x:t>
  </x:si>
  <x:si>
    <x:t xml:space="preserve">AI + Server Admin</x:t>
  </x:si>
  <x:si>
    <x:t xml:space="preserve">AI + </x:t>
  </x:si>
  <x:si>
    <x:t xml:space="preserve">AI + Solutions Architech</x:t>
  </x:si>
  <x:si>
    <x:t xml:space="preserve">Project Modules Progress</x:t>
  </x:si>
  <x:si>
    <x:t xml:space="preserve">One row per module/feature. Module Progress % is weighted, not averaged.</x:t>
  </x:si>
  <x:si>
    <x:t xml:space="preserve">Project</x:t>
  </x:si>
  <x:si>
    <x:t xml:space="preserve">Module/activities</x:t>
  </x:si>
  <x:si>
    <x:t xml:space="preserve">Owner</x:t>
  </x:si>
  <x:si>
    <x:t xml:space="preserve">BRD</x:t>
  </x:si>
  <x:si>
    <x:t xml:space="preserve">Analysis</x:t>
  </x:si>
  <x:si>
    <x:t xml:space="preserve">UI/UX Design</x:t>
  </x:si>
  <x:si>
    <x:t xml:space="preserve">Development</x:t>
  </x:si>
  <x:si>
    <x:t xml:space="preserve">Code Review</x:t>
  </x:si>
  <x:si>
    <x:t xml:space="preserve">QA Testing</x:t>
  </x:si>
  <x:si>
    <x:t xml:space="preserve">UAT</x:t>
  </x:si>
  <x:si>
    <x:t xml:space="preserve">Deployment</x:t>
  </x:si>
  <x:si>
    <x:t xml:space="preserve">Documentation</x:t>
  </x:si>
  <x:si>
    <x:t xml:space="preserve">Module Progress %</x:t>
  </x:si>
  <x:si>
    <x:t xml:space="preserve">Remarks</x:t>
  </x:si>
  <x:si>
    <x:t xml:space="preserve">Executive Dashboard</x:t>
  </x:si>
  <x:si>
    <x:t xml:space="preserve">In Progress</x:t>
  </x:si>
  <x:si>
    <x:t xml:space="preserve">Property Management module</x:t>
  </x:si>
  <x:si>
    <x:t xml:space="preserve">Lease Management module</x:t>
  </x:si>
  <x:si>
    <x:t xml:space="preserve">Contact and Entity Management module</x:t>
  </x:si>
  <x:si>
    <x:t xml:space="preserve">Document Management module</x:t>
  </x:si>
  <x:si>
    <x:t xml:space="preserve">Global Search</x:t>
  </x:si>
  <x:si>
    <x:t xml:space="preserve">Notifications and operational reminders</x:t>
  </x:si>
  <x:si>
    <x:t xml:space="preserve">Agreed AI productivity features</x:t>
  </x:si>
  <x:si>
    <x:t xml:space="preserve">User authentication and role management</x:t>
  </x:si>
  <x:si>
    <x:t xml:space="preserve">Airtable data-migration tools or scripts</x:t>
  </x:si>
  <x:si>
    <x:t xml:space="preserve">Tenant Portal</x:t>
  </x:si>
  <x:si>
    <x:t xml:space="preserve">Product Module</x:t>
  </x:si>
  <x:si>
    <x:t xml:space="preserve">Sales Module</x:t>
  </x:si>
  <x:si>
    <x:t xml:space="preserve">Dashboard </x:t>
  </x:si>
  <x:si>
    <x:t xml:space="preserve">Executive Dashboard / Reports</x:t>
  </x:si>
  <x:si>
    <x:t xml:space="preserve">Purchase / Procurement</x:t>
  </x:si>
  <x:si>
    <x:t xml:space="preserve">Sales Return / RMA</x:t>
  </x:si>
  <x:si>
    <x:t xml:space="preserve">AI</x:t>
  </x:si>
  <x:si>
    <x:t xml:space="preserve">Accounting</x:t>
  </x:si>
  <x:si>
    <x:t xml:space="preserve">Human Resource Management</x:t>
  </x:si>
  <x:si>
    <x:t xml:space="preserve">Dashboard / Reports</x:t>
  </x:si>
  <x:si>
    <x:t xml:space="preserve">Inquiries</x:t>
  </x:si>
  <x:si>
    <x:t xml:space="preserve">Client Profiles</x:t>
  </x:si>
  <x:si>
    <x:t xml:space="preserve">Credit investigations</x:t>
  </x:si>
  <x:si>
    <x:t xml:space="preserve">Approvals</x:t>
  </x:si>
  <x:si>
    <x:t xml:space="preserve">Expenses</x:t>
  </x:si>
  <x:si>
    <x:t xml:space="preserve">Homepage &amp; Banner Spotlight </x:t>
  </x:si>
  <x:si>
    <x:t xml:space="preserve">Product Catalog</x:t>
  </x:si>
  <x:si>
    <x:t xml:space="preserve">Product Details</x:t>
  </x:si>
  <x:si>
    <x:t xml:space="preserve">Cart &amp; Mini-Drawer </x:t>
  </x:si>
  <x:si>
    <x:t xml:space="preserve">Checkout</x:t>
  </x:si>
  <x:si>
    <x:t xml:space="preserve">Order Tracking</x:t>
  </x:si>
  <x:si>
    <x:t xml:space="preserve">Admin Storefront Control</x:t>
  </x:si>
  <x:si>
    <x:t xml:space="preserve">Intake Form</x:t>
  </x:si>
  <x:si>
    <x:t xml:space="preserve">Client Feedback</x:t>
  </x:si>
  <x:si>
    <x:t xml:space="preserve">Role based Dashboard</x:t>
  </x:si>
  <x:si>
    <x:t xml:space="preserve">Appointments</x:t>
  </x:si>
  <x:si>
    <x:t xml:space="preserve">Inventory</x:t>
  </x:si>
  <x:si>
    <x:t xml:space="preserve">Finance</x:t>
  </x:si>
  <x:si>
    <x:t xml:space="preserve">Purchase Requisition (PR1) Intake</x:t>
  </x:si>
  <x:si>
    <x:t xml:space="preserve">Ready for Deployment</x:t>
  </x:si>
  <x:si>
    <x:t xml:space="preserve">PR2 Planning &amp; Classification</x:t>
  </x:si>
  <x:si>
    <x:t xml:space="preserve">Approvals Workflow</x:t>
  </x:si>
  <x:si>
    <x:t xml:space="preserve">Canvassing &amp; RFQ</x:t>
  </x:si>
  <x:si>
    <x:t xml:space="preserve">Purchase Orders</x:t>
  </x:si>
  <x:si>
    <x:t xml:space="preserve">Supplier Accounts &amp; Accreditation</x:t>
  </x:si>
  <x:si>
    <x:t xml:space="preserve">Supplier Portal (Quotes/PO/Deliveries)</x:t>
  </x:si>
  <x:si>
    <x:t xml:space="preserve">Compliance Documents</x:t>
  </x:si>
  <x:si>
    <x:t xml:space="preserve">Delivery Tracking</x:t>
  </x:si>
  <x:si>
    <x:t xml:space="preserve">Warehouse Validation &amp; Receiving</x:t>
  </x:si>
  <x:si>
    <x:t xml:space="preserve">Goods Receipt (GRN)</x:t>
  </x:si>
  <x:si>
    <x:t xml:space="preserve">TSQA (Quality Assurance)</x:t>
  </x:si>
  <x:si>
    <x:t xml:space="preserve">Substitute Review</x:t>
  </x:si>
  <x:si>
    <x:t xml:space="preserve">Event Setup</x:t>
  </x:si>
  <x:si>
    <x:t xml:space="preserve">Completed</x:t>
  </x:si>
  <x:si>
    <x:t xml:space="preserve">Ticket Type &amp; Pricing Management</x:t>
  </x:si>
  <x:si>
    <x:t xml:space="preserve">Seating &amp; Floor Plan Design</x:t>
  </x:si>
  <x:si>
    <x:t xml:space="preserve">Registration &amp; Checkout (Payment)</x:t>
  </x:si>
  <x:si>
    <x:t xml:space="preserve">Seat Assignment</x:t>
  </x:si>
  <x:si>
    <x:t xml:space="preserve">Ticket Issuance &amp; QR Delivery</x:t>
  </x:si>
  <x:si>
    <x:t xml:space="preserve">Attendee / Guest Management</x:t>
  </x:si>
  <x:si>
    <x:t xml:space="preserve">Check-in / QR Scanning</x:t>
  </x:si>
  <x:si>
    <x:t xml:space="preserve">Borrower Portal</x:t>
  </x:si>
  <x:si>
    <x:t xml:space="preserve">Leads</x:t>
  </x:si>
  <x:si>
    <x:t xml:space="preserve">Intake</x:t>
  </x:si>
  <x:si>
    <x:t xml:space="preserve">Computation</x:t>
  </x:si>
  <x:si>
    <x:t xml:space="preserve">Verification (CIG)</x:t>
  </x:si>
  <x:si>
    <x:t xml:space="preserve">Committee</x:t>
  </x:si>
  <x:si>
    <x:t xml:space="preserve">Negotiation</x:t>
  </x:si>
  <x:si>
    <x:t xml:space="preserve">Release (LRA)</x:t>
  </x:si>
  <x:si>
    <x:t xml:space="preserve">Accounting (AR)</x:t>
  </x:si>
  <x:si>
    <x:t xml:space="preserve">Collection</x:t>
  </x:si>
  <x:si>
    <x:t xml:space="preserve">Remedial</x:t>
  </x:si>
  <x:si>
    <x:t xml:space="preserve">Recruitment</x:t>
  </x:si>
  <x:si>
    <x:t xml:space="preserve">HR Management</x:t>
  </x:si>
  <x:si>
    <x:t xml:space="preserve">Performance Appraisal</x:t>
  </x:si>
  <x:si>
    <x:t xml:space="preserve">Trainings</x:t>
  </x:si>
  <x:si>
    <x:t xml:space="preserve">Announcements</x:t>
  </x:si>
  <x:si>
    <x:t xml:space="preserve">Dashboard</x:t>
  </x:si>
  <x:si>
    <x:t xml:space="preserve">Leave Managemenent</x:t>
  </x:si>
  <x:si>
    <x:t xml:space="preserve">SMTP</x:t>
  </x:si>
  <x:si>
    <x:t xml:space="preserve">Payment Failed Automation</x:t>
  </x:si>
  <x:si>
    <x:t xml:space="preserve">dada</x:t>
  </x:si>
  <x:si>
    <x:t xml:space="preserve">dasdsa</x:t>
  </x:si>
  <x:si>
    <x:t xml:space="preserve">Enter phase completion 0-100% per module. Module Progress % and colors calculate automatically.</x:t>
  </x:si>
  <x:si>
    <x:t xml:space="preserve">Project Summary</x:t>
  </x:si>
  <x:si>
    <x:t xml:space="preserve">Auto-summarized from Modules Progress.</x:t>
  </x:si>
  <x:si>
    <x:t xml:space="preserve">Total Modules</x:t>
  </x:si>
  <x:si>
    <x:t xml:space="preserve">Not Started</x:t>
  </x:si>
  <x:si>
    <x:t xml:space="preserve">Health</x:t>
  </x:si>
  <x:si>
    <x:t xml:space="preserve">All columns are formulas driven off Modules Progress — nothing to type here.</x:t>
  </x:si>
  <x:si>
    <x:t xml:space="preserve">SDLC Weight</x:t>
  </x:si>
  <x:si>
    <x:t xml:space="preserve">Single source of truth for phase weighting — change here and every Module Progress % updates.</x:t>
  </x:si>
  <x:si>
    <x:t xml:space="preserve">SDLC Phase</x:t>
  </x:si>
  <x:si>
    <x:t xml:space="preserve">Weight</x:t>
  </x:si>
  <x:si>
    <x:t xml:space="preserve">Business Requirements (BRD)</x:t>
  </x:si>
  <x:si>
    <x:t xml:space="preserve">System Analysis</x:t>
  </x:si>
  <x:si>
    <x:t xml:space="preserve">User Acceptance Testing (UAT)</x:t>
  </x:si>
  <x:si>
    <x:t xml:space="preserve">Maintenance / Hypercare</x:t>
  </x:si>
  <x:si>
    <x:t xml:space="preserve">TOTAL</x:t>
  </x:si>
  <x:si>
    <x:t xml:space="preserve">Weights must total 100% — the TOTAL cell will flag if they don't.</x:t>
  </x:si>
  <x:si>
    <x:t xml:space="preserve">Illustrative weekly view — shade the weeks each module is active.</x:t>
  </x:si>
  <x:si>
    <x:t xml:space="preserve">Module</x:t>
  </x:si>
  <x:si>
    <x:t xml:space="preserve">Jan W1</x:t>
  </x:si>
  <x:si>
    <x:t xml:space="preserve">Jan W2</x:t>
  </x:si>
  <x:si>
    <x:t xml:space="preserve">Jan W3</x:t>
  </x:si>
  <x:si>
    <x:t xml:space="preserve">Jan W4</x:t>
  </x:si>
  <x:si>
    <x:t xml:space="preserve">Feb W1</x:t>
  </x:si>
  <x:si>
    <x:t xml:space="preserve">Feb W2</x:t>
  </x:si>
  <x:si>
    <x:t xml:space="preserve">Feb W3</x:t>
  </x:si>
  <x:si>
    <x:t xml:space="preserve">Feb W4</x:t>
  </x:si>
  <x:si>
    <x:t xml:space="preserve">Mar W1</x:t>
  </x:si>
  <x:si>
    <x:t xml:space="preserve">Mar W2</x:t>
  </x:si>
  <x:si>
    <x:t xml:space="preserve">Mar W3</x:t>
  </x:si>
  <x:si>
    <x:t xml:space="preserve">Mar W4</x:t>
  </x:si>
  <x:si>
    <x:t xml:space="preserve">Apr W1</x:t>
  </x:si>
  <x:si>
    <x:t xml:space="preserve">Apr W2</x:t>
  </x:si>
  <x:si>
    <x:t xml:space="preserve">Apr W3</x:t>
  </x:si>
  <x:si>
    <x:t xml:space="preserve">Apr W4</x:t>
  </x:si>
  <x:si>
    <x:t xml:space="preserve">May W1</x:t>
  </x:si>
  <x:si>
    <x:t xml:space="preserve">May W2</x:t>
  </x:si>
  <x:si>
    <x:t xml:space="preserve">May W3</x:t>
  </x:si>
  <x:si>
    <x:t xml:space="preserve">May W4</x:t>
  </x:si>
  <x:si>
    <x:t xml:space="preserve">Jun W1</x:t>
  </x:si>
  <x:si>
    <x:t xml:space="preserve">Jun W2</x:t>
  </x:si>
  <x:si>
    <x:t xml:space="preserve">Jun W3</x:t>
  </x:si>
  <x:si>
    <x:t xml:space="preserve">Jun W4</x:t>
  </x:si>
  <x:si>
    <x:t xml:space="preserve">Jul W1</x:t>
  </x:si>
  <x:si>
    <x:t xml:space="preserve">Jul W2</x:t>
  </x:si>
  <x:si>
    <x:t xml:space="preserve">Jul W3</x:t>
  </x:si>
  <x:si>
    <x:t xml:space="preserve">Jul W4</x:t>
  </x:si>
  <x:si>
    <x:t xml:space="preserve">Aug W1</x:t>
  </x:si>
  <x:si>
    <x:t xml:space="preserve">Aug W2</x:t>
  </x:si>
  <x:si>
    <x:t xml:space="preserve">Aug W3</x:t>
  </x:si>
  <x:si>
    <x:t xml:space="preserve">Aug W4</x:t>
  </x:si>
  <x:si>
    <x:t xml:space="preserve">Sept W1</x:t>
  </x:si>
  <x:si>
    <x:t xml:space="preserve">Sept W2</x:t>
  </x:si>
  <x:si>
    <x:t xml:space="preserve">Sept W3</x:t>
  </x:si>
  <x:si>
    <x:t xml:space="preserve">Sept W4</x:t>
  </x:si>
  <x:si>
    <x:t xml:space="preserve">Maintenance (warranty after deployment)</x:t>
  </x:si>
  <x:si>
    <x:t xml:space="preserve"> </x:t>
  </x:si>
  <x:si>
    <x:t xml:space="preserve">UAT internal, external</x:t>
  </x:si>
  <x:si>
    <x:t xml:space="preserve">        </x:t>
  </x:si>
  <x:si>
    <x:t xml:space="preserve">  </x:t>
  </x:si>
  <x:si>
    <x:t xml:space="preserve">Stepup</x:t>
  </x:si>
  <x:si>
    <x:t xml:space="preserve">Loanstar</x:t>
  </x:si>
  <x:si>
    <x:t xml:space="preserve">SA</x:t>
  </x:si>
  <x:si>
    <x:t xml:space="preserve">Client Meeting</x:t>
  </x:si>
  <x:si>
    <x:t xml:space="preserve">Reference</x:t>
  </x:si>
  <x:si>
    <x:t xml:space="preserve">Definition</x:t>
  </x:si>
  <x:si>
    <x:t xml:space="preserve">Work has not yet begun.</x:t>
  </x:si>
  <x:si>
    <x:t xml:space="preserve">Work is actively being completed.</x:t>
  </x:si>
  <x:si>
    <x:t xml:space="preserve">For Review</x:t>
  </x:si>
  <x:si>
    <x:t xml:space="preserve">Waiting for technical or business review.</x:t>
  </x:si>
  <x:si>
    <x:t xml:space="preserve">Blocked</x:t>
  </x:si>
  <x:si>
    <x:t xml:space="preserve">Progress cannot continue due to a dependency or issue.</x:t>
  </x:si>
  <x:si>
    <x:t xml:space="preserve">For QA</x:t>
  </x:si>
  <x:si>
    <x:t xml:space="preserve">Ready for Quality Assurance testing.</x:t>
  </x:si>
  <x:si>
    <x:t xml:space="preserve">For UAT</x:t>
  </x:si>
  <x:si>
    <x:t xml:space="preserve">Ready for User Acceptance Testing.</x:t>
  </x:si>
  <x:si>
    <x:t xml:space="preserve">Approved and waiting for deployment.</x:t>
  </x:si>
  <x:si>
    <x:t xml:space="preserve">Module has completed all SDLC phases, including documentation and deployment.</x:t>
  </x:si>
  <x:si>
    <x:t xml:space="preserve">Traffic Light Indicator</x:t>
  </x:si>
  <x:si>
    <x:t xml:space="preserve">Indicator</x:t>
  </x:si>
  <x:si>
    <x:t xml:space="preserve">0-30%</x:t>
  </x:si>
  <x:si>
    <x:t xml:space="preserve">🔴 Delayed</x:t>
  </x:si>
  <x:si>
    <x:t xml:space="preserve">31-70%</x:t>
  </x:si>
  <x:si>
    <x:t xml:space="preserve">🟡 In Progress</x:t>
  </x:si>
  <x:si>
    <x:t xml:space="preserve">71-99%</x:t>
  </x:si>
  <x:si>
    <x:t xml:space="preserve">🟢 Near Completion</x:t>
  </x:si>
  <x:si>
    <x:t xml:space="preserve">100%</x:t>
  </x:si>
  <x:si>
    <x:t xml:space="preserve">✅ Completed</x:t>
  </x:si>
  <x:si>
    <x:t xml:space="preserve">Why This Design Works</x:t>
  </x:si>
  <x:si>
    <x:t xml:space="preserve">• Multiple developers can work across multiple projects at once.</x:t>
  </x:si>
  <x:si>
    <x:t xml:space="preserve">• Module-level visibility, not just one project percentage.</x:t>
  </x:si>
  <x:si>
    <x:t xml:space="preserve">• Overall project progress is derived automatically from module data.</x:t>
  </x:si>
  <x:si>
    <x:t xml:space="preserve">• Aligns with SDLC process and Agile ceremonies.</x:t>
  </x:si>
  <x:si>
    <x:t xml:space="preserve">• Can be imported into a future BI dashboard with minimal changes.</x:t>
  </x:si>
  <x:si>
    <x:t xml:space="preserve">Team Update Guidelines</x:t>
  </x:si>
  <x:si>
    <x:t xml:space="preserve">Objective</x:t>
  </x:si>
  <x:si>
    <x:t xml:space="preserve">Standardized way for project owners to report progress so management has real-time visibility across all active projects.</x:t>
  </x:si>
  <x:si>
    <x:t xml:space="preserve">General Guidelines</x:t>
  </x:si>
  <x:si>
    <x:t xml:space="preserve">• Each Project Owner keeps the tracker up to date.</x:t>
  </x:si>
  <x:si>
    <x:t xml:space="preserve">• Update at least every Friday before the Weekly Scrum, or right after a major milestone.</x:t>
  </x:si>
  <x:si>
    <x:t xml:space="preserve">• Progress reflects actual completed work, not estimates.</x:t>
  </x:si>
  <x:si>
    <x:t xml:space="preserve">• Each module has exactly one assigned owner.</x:t>
  </x:si>
  <x:si>
    <x:t xml:space="preserve">• Keep supporting evidence (Jira, PRs, UAT reports, deployment records) available if requested.</x:t>
  </x:si>
  <x:si>
    <x:t xml:space="preserve">How to Update Each SDLC Phase</x:t>
  </x:si>
  <x:si>
    <x:t xml:space="preserve">0-100% based on completion of business requirements and stakeholder approval.</x:t>
  </x:si>
  <x:si>
    <x:t xml:space="preserve">Based on completed workflows, process analysis, use cases, technical requirements.</x:t>
  </x:si>
  <x:si>
    <x:t xml:space="preserve">Based on approved wireframes, mockups, or design prototypes.</x:t>
  </x:si>
  <x:si>
    <x:t xml:space="preserve">% of coding completed for the module.</x:t>
  </x:si>
  <x:si>
    <x:t xml:space="preserve">Update after peer review or technical lead approval.</x:t>
  </x:si>
  <x:si>
    <x:t xml:space="preserve">Update after completed functional, regression, or integration testing.</x:t>
  </x:si>
  <x:si>
    <x:t xml:space="preserve">Update after successful business user validation and acceptance.</x:t>
  </x:si>
  <x:si>
    <x:t xml:space="preserve">Update after deployment to the target environment and validation.</x:t>
  </x:si>
  <x:si>
    <x:t xml:space="preserve">Update once technical docs, user guides, or release notes are done.</x:t>
  </x:si>
  <x:si>
    <x:t xml:space="preserve">Update after post-deployment monitoring and stabilization.</x:t>
  </x:si>
</x:sst>
</file>

<file path=xl/styles.xml><?xml version="1.0" encoding="utf-8"?>
<x:styleSheet xmlns:x="http://schemas.openxmlformats.org/spreadsheetml/2006/main">
  <x:numFmts count="3">
    <x:numFmt numFmtId="164" formatCode="mmm\ d&quot;, &quot;yyyy"/>
    <x:numFmt numFmtId="165" formatCode="mmm d,yyyy"/>
    <x:numFmt numFmtId="200" formatCode="mmm d, yyyy"/>
  </x:numFmts>
  <x:fonts count="15">
    <x:font>
      <x:sz val="11"/>
      <x:color theme="1"/>
      <x:name val="Calibri"/>
    </x:font>
    <x:font>
      <x:color theme="1"/>
      <x:name val="Calibri"/>
    </x:font>
    <x:font>
      <x:b/>
      <x:sz val="14"/>
      <x:color rgb="FF1F4E78"/>
      <x:name val="Arial"/>
    </x:font>
    <x:font>
      <x:i/>
      <x:sz val="9"/>
      <x:color rgb="FF80808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2"/>
      <x:color rgb="FF000000"/>
      <x:name val="'Helvetica Neue'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9"/>
      <x:color theme="1"/>
      <x:name val="Arial"/>
    </x:font>
    <x:font>
      <x:b/>
      <x:sz val="11"/>
      <x:color rgb="FF0000FF"/>
      <x:name val="Arial"/>
    </x:font>
    <x:font>
      <x:sz val="11"/>
      <x:color theme="1"/>
      <x:name val="Calibri"/>
    </x:font>
    <x:font>
      <x:b/>
      <x:sz val="12"/>
      <x:color rgb="FF1F4E78"/>
      <x:name val="Arial"/>
    </x:font>
    <x:font>
      <x:color rgb="FF000000"/>
      <x:name val="Arial"/>
    </x:font>
    <x:font>
      <x:color theme="1"/>
      <x:name val="Arial"/>
    </x:font>
  </x:fonts>
  <x:fills count="11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3E70C8"/>
      </x:patternFill>
    </x:fill>
    <x:fill>
      <x:patternFill patternType="solid">
        <x:fgColor theme="4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</x:fills>
  <x:borders count="4">
    <x:border/>
    <x:border>
      <x:bottom style="thin">
        <x:color rgb="FFD9D9D9"/>
      </x:bottom>
    </x:border>
    <x:border>
      <x:bottom style="thin">
        <x:color rgb="FFD9D9D9"/>
      </x:bottom>
    </x:border>
    <x:border/>
  </x:borders>
  <x:cellStyleXfs count="1">
    <x:xf numFmtId="0" fontId="0" fillId="0" borderId="0" applyFont="1" applyAlignment="1"/>
  </x:cellStyleXfs>
  <x:cellXfs count="48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left" vertical="center" wrapText="1"/>
    </x:xf>
    <x:xf numFmtId="0" fontId="6" fillId="0" borderId="0" xfId="0" applyFont="1" applyAlignment="1"/>
    <x:xf numFmtId="0" fontId="5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horizontal="center" vertical="center" wrapText="1"/>
    </x:xf>
    <x:xf numFmtId="9" fontId="5" fillId="0" borderId="2" xfId="0" applyNumberFormat="1" applyFont="1" applyBorder="1" applyAlignment="1">
      <x:alignment horizontal="center" vertical="center" wrapText="1"/>
    </x:xf>
    <x:xf numFmtId="9" fontId="5" fillId="0" borderId="2" xfId="0" applyNumberFormat="1" applyFont="1" applyBorder="1" applyAlignment="1">
      <x:alignment horizontal="center" vertical="center" wrapText="1"/>
    </x:xf>
    <x:xf numFmtId="164" fontId="5" fillId="0" borderId="2" xfId="0" applyNumberFormat="1" applyFont="1" applyBorder="1" applyAlignment="1">
      <x:alignment horizontal="center" vertical="center" wrapText="1"/>
    </x:xf>
    <x:xf numFmtId="9" fontId="7" fillId="0" borderId="2" xfId="0" applyNumberFormat="1" applyFont="1" applyBorder="1" applyAlignment="1">
      <x:alignment horizontal="center" vertical="center" wrapText="1"/>
    </x:xf>
    <x:xf numFmtId="0" fontId="5" fillId="0" borderId="2" xfId="0" applyFont="1" applyBorder="1" applyAlignment="1">
      <x:alignment horizontal="left" vertical="center" wrapText="1"/>
    </x:xf>
    <x:xf numFmtId="0" fontId="5" fillId="0" borderId="2" xfId="0" applyFont="1" applyBorder="1" applyAlignment="1">
      <x:alignment horizontal="center" vertical="center" wrapText="1"/>
    </x:xf>
    <x:xf numFmtId="0" fontId="8" fillId="0" borderId="0" xfId="0" applyFont="1" applyAlignment="1">
      <x:alignment vertical="bottom" wrapText="0"/>
    </x:xf>
    <x:xf numFmtId="9" fontId="8" fillId="0" borderId="0" xfId="0" applyNumberFormat="1" applyFont="1" applyAlignment="1">
      <x:alignment vertical="bottom" wrapText="0"/>
    </x:xf>
    <x:xf numFmtId="0" fontId="9" fillId="0" borderId="0" xfId="0" applyFont="1" applyAlignment="1">
      <x:alignment vertical="bottom" wrapText="0"/>
    </x:xf>
    <x:xf numFmtId="165" fontId="5" fillId="0" borderId="2" xfId="0" applyNumberFormat="1" applyFont="1" applyBorder="1" applyAlignment="1">
      <x:alignment horizontal="center" vertical="center" wrapText="1"/>
    </x:xf>
    <x:xf numFmtId="164" fontId="5" fillId="0" borderId="2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left" vertical="center" wrapText="1"/>
    </x:xf>
    <x:xf numFmtId="0" fontId="4" fillId="2" borderId="0" xfId="0" applyFont="1" applyFill="1" applyAlignment="1">
      <x:alignment horizontal="center" vertical="center" wrapText="1"/>
    </x:xf>
    <x:xf numFmtId="0" fontId="11" fillId="0" borderId="2" xfId="0" applyFont="1" applyBorder="1" applyAlignment="1">
      <x:alignment vertical="bottom" wrapText="0"/>
    </x:xf>
    <x:xf numFmtId="0" fontId="7" fillId="0" borderId="0" xfId="0" applyFont="1" applyAlignment="1"/>
    <x:xf numFmtId="0" fontId="11" fillId="3" borderId="1" xfId="0" applyFont="1" applyFill="1" applyBorder="1" applyAlignment="1">
      <x:alignment vertical="bottom" wrapText="0"/>
    </x:xf>
    <x:xf numFmtId="0" fontId="11" fillId="0" borderId="1" xfId="0" applyFont="1" applyBorder="1" applyAlignment="1">
      <x:alignment vertical="bottom" wrapText="0"/>
    </x:xf>
    <x:xf numFmtId="0" fontId="11" fillId="4" borderId="1" xfId="0" applyFont="1" applyFill="1" applyBorder="1" applyAlignment="1">
      <x:alignment vertical="bottom" wrapText="0"/>
    </x:xf>
    <x:xf numFmtId="0" fontId="1" fillId="4" borderId="0" xfId="0" applyFont="1" applyFill="1"/>
    <x:xf numFmtId="0" fontId="1" fillId="5" borderId="0" xfId="0" applyFont="1" applyFill="1"/>
    <x:xf numFmtId="0" fontId="1" fillId="3" borderId="0" xfId="0" applyFont="1" applyFill="1" applyAlignment="1"/>
    <x:xf numFmtId="0" fontId="1" fillId="3" borderId="0" xfId="0" applyFont="1" applyFill="1"/>
    <x:xf numFmtId="0" fontId="7" fillId="0" borderId="0" xfId="0" applyFont="1" applyAlignment="1">
      <x:alignment horizontal="left" vertical="center" wrapText="1"/>
    </x:xf>
    <x:xf numFmtId="0" fontId="7" fillId="0" borderId="2" xfId="0" applyFont="1" applyBorder="1" applyAlignment="1">
      <x:alignment horizontal="left" vertical="center" wrapText="1"/>
    </x:xf>
    <x:xf numFmtId="0" fontId="1" fillId="0" borderId="0" xfId="0" applyFont="1"/>
    <x:xf numFmtId="0" fontId="11" fillId="0" borderId="0" xfId="0" applyFont="1" applyAlignment="1">
      <x:alignment horizontal="left" vertical="center" wrapText="1"/>
    </x:xf>
    <x:xf numFmtId="0" fontId="12" fillId="0" borderId="0" xfId="0" applyFont="1" applyAlignment="1">
      <x:alignment vertical="bottom" wrapText="0"/>
    </x:xf>
    <x:xf numFmtId="0" fontId="11" fillId="6" borderId="3" xfId="0" applyFont="1" applyFill="1" applyBorder="1" applyAlignment="1">
      <x:alignment vertical="bottom" wrapText="0"/>
    </x:xf>
    <x:xf numFmtId="0" fontId="11" fillId="7" borderId="3" xfId="0" applyFont="1" applyFill="1" applyBorder="1" applyAlignment="1">
      <x:alignment vertical="bottom" wrapText="0"/>
    </x:xf>
    <x:xf numFmtId="0" fontId="11" fillId="8" borderId="3" xfId="0" applyFont="1" applyFill="1" applyBorder="1" applyAlignment="1">
      <x:alignment vertical="bottom" wrapText="0"/>
    </x:xf>
    <x:xf numFmtId="0" fontId="13" fillId="0" borderId="0" xfId="0" applyFont="1" applyAlignment="1"/>
    <x:xf numFmtId="0" fontId="7" fillId="0" borderId="0" xfId="0" applyFont="1" applyAlignment="1">
      <x:alignment horizontal="left" vertical="center" wrapText="1"/>
    </x:xf>
    <x:xf numFmtId="0" fontId="14" fillId="0" borderId="0" xfId="0" applyFont="1" applyAlignment="1"/>
    <x:xf numFmtId="200" fontId="5" fillId="0" borderId="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bottom" wrapText="0"/>
    </x:xf>
    <x:xf numFmtId="0" fontId="1" fillId="9" borderId="0" xfId="0" applyNumberFormat="1" applyFont="1" applyFill="1" applyBorder="1"/>
    <x:xf numFmtId="0" fontId="1" fillId="10" borderId="0" xfId="0" applyNumberFormat="1" applyFont="1" applyFill="1" applyBorder="1"/>
    <x:xf numFmtId="0" fontId="0" fillId="10" borderId="0" xfId="0" applyNumberFormat="1" applyFont="1" applyFill="1" applyBorder="1" applyAlignment="1">
      <x:alignment vertical="bottom" wrapText="0"/>
    </x:xf>
  </x:cellXfs>
  <x:cellStyles count="1">
    <x:cellStyle name="Normal" xfId="0"/>
  </x:cellStyles>
  <x:dxfs count="3">
    <x:dxf>
      <x:fill>
        <x:patternFill>
          <x:bgColor rgb="FFFFC7CE"/>
        </x:patternFill>
      </x:fill>
      <x:border/>
    </x:dxf>
    <x:dxf>
      <x:fill>
        <x:patternFill>
          <x:bgColor rgb="FFFFEB9C"/>
        </x:patternFill>
      </x:fill>
      <x:border/>
    </x:dxf>
    <x:dxf>
      <x:fill>
        <x:patternFill>
          <x:bgColor rgb="FFC6EFCE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3a0a0617a4588" /><Relationship Type="http://schemas.openxmlformats.org/officeDocument/2006/relationships/theme" Target="/xl/theme/theme1.xml" Id="R0021cfbbea804a4c" /><Relationship Type="http://schemas.openxmlformats.org/officeDocument/2006/relationships/sharedStrings" Target="/xl/sharedStrings.xml" Id="R1ebd8eedf32a4bb6" /><Relationship Type="http://schemas.openxmlformats.org/officeDocument/2006/relationships/worksheet" Target="/xl/worksheets/sheet1.xml" Id="R2e1972180216412e" /><Relationship Type="http://schemas.openxmlformats.org/officeDocument/2006/relationships/worksheet" Target="/xl/worksheets/sheet2.xml" Id="R83675005dad34673" /><Relationship Type="http://schemas.openxmlformats.org/officeDocument/2006/relationships/worksheet" Target="/xl/worksheets/sheet3.xml" Id="R700b30a975f04a7c" /><Relationship Type="http://schemas.openxmlformats.org/officeDocument/2006/relationships/worksheet" Target="/xl/worksheets/sheet4.xml" Id="R61a88b7be6204941" /><Relationship Type="http://schemas.openxmlformats.org/officeDocument/2006/relationships/worksheet" Target="/xl/worksheets/sheet5.xml" Id="R52c46df7ebc04cb4" /><Relationship Type="http://schemas.openxmlformats.org/officeDocument/2006/relationships/worksheet" Target="/xl/worksheets/sheet6.xml" Id="Rf196c21b5d344ffc" /><Relationship Type="http://schemas.openxmlformats.org/officeDocument/2006/relationships/worksheet" Target="/xl/worksheets/sheet7.xml" Id="R5a7599bf06dc4f53" /><Relationship Type="http://schemas.openxmlformats.org/officeDocument/2006/relationships/worksheet" Target="/xl/worksheets/sheet8.xml" Id="R24446af354b1468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29.860000610351562" customWidth="1"/>
    <x:col min="2" max="2" width="39.13999938964844" customWidth="1"/>
    <x:col min="3" max="3" width="15" hidden="1" customWidth="1"/>
    <x:col min="4" max="4" width="14" customWidth="1"/>
    <x:col min="5" max="5" width="16.56999969482422" customWidth="1"/>
    <x:col min="6" max="6" width="18.709999084472656" customWidth="1"/>
    <x:col min="7" max="7" width="16.56999969482422" customWidth="1"/>
    <x:col min="8" max="8" width="31.860000610351562" customWidth="1"/>
    <x:col min="9" max="26" width="8.710000038146973" customWidth="1"/>
  </x:cols>
  <x:sheetData>
    <x:row r="1" ht="21.75" customHeight="1">
      <x:c r="A1" s="2" t="s">
        <x:v>0</x:v>
      </x:c>
    </x:row>
    <x:row r="2" ht="15" customHeight="1">
      <x:c r="A2" s="3" t="s">
        <x:v>1</x:v>
      </x:c>
    </x:row>
    <x:row r="4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</x:row>
    <x:row r="5">
      <x:c r="A5" s="6" t="s">
        <x:v>10</x:v>
      </x:c>
      <x:c r="B5" s="6" t="s">
        <x:v>11</x:v>
      </x:c>
      <x:c r="C5" s="8" t="s">
        <x:v>12</x:v>
      </x:c>
      <x:c r="D5" s="8" t="s">
        <x:v>13</x:v>
      </x:c>
      <x:c r="E5" s="12">
        <x:v>46233.0</x:v>
      </x:c>
      <x:c r="F5" s="12">
        <x:v>46293.0</x:v>
      </x:c>
      <x:c r="G5" s="13" t="n">
        <x:f>IFERROR(AVERAGEIF('Modules Progress'!$A:$A,$A5,'Modules Progress'!$N:$N),0)</x:f>
        <x:v>0.929818181818182</x:v>
      </x:c>
      <x:c r="H5" s="9" t="str">
        <x:f t="shared" ref="H5:H18" si="1">IF(G5&gt;=1,"✅ Completed",IF(G5&gt;=0.71,"🟢 Near Completion",IF(G5&gt;=0.31,"🟡 In Progress","🔴 Delayed")))</x:f>
        <x:v>🟢 Near Completion</x:v>
      </x:c>
    </x:row>
    <x:row r="6">
      <x:c r="A6" s="6" t="s">
        <x:v>14</x:v>
      </x:c>
      <x:c r="B6" s="6" t="s">
        <x:v>15</x:v>
      </x:c>
      <x:c r="C6" s="8" t="s">
        <x:v>12</x:v>
      </x:c>
      <x:c r="D6" s="8" t="s">
        <x:v>16</x:v>
      </x:c>
      <x:c r="E6" s="12">
        <x:v>46218.0</x:v>
      </x:c>
      <x:c r="F6" s="12">
        <x:v>46280.0</x:v>
      </x:c>
      <x:c r="G6" s="13" t="n">
        <x:f>IFERROR(AVERAGEIF('Modules Progress'!$A:$A,$A6,'Modules Progress'!$N:$N),0)</x:f>
        <x:v>0.6422222222222224</x:v>
      </x:c>
      <x:c r="H6" s="9" t="str">
        <x:f t="shared" si="1"/>
        <x:v>🟡 In Progress</x:v>
      </x:c>
    </x:row>
    <x:row r="7">
      <x:c r="A7" s="6" t="s">
        <x:v>17</x:v>
      </x:c>
      <x:c r="B7" s="6" t="s">
        <x:v>15</x:v>
      </x:c>
      <x:c r="C7" s="8" t="s">
        <x:v>12</x:v>
      </x:c>
      <x:c r="D7" s="8" t="s">
        <x:v>16</x:v>
      </x:c>
      <x:c r="E7" s="12">
        <x:v>46218.0</x:v>
      </x:c>
      <x:c r="F7" s="12">
        <x:v>46280.0</x:v>
      </x:c>
      <x:c r="G7" s="13" t="n">
        <x:f>IFERROR(AVERAGEIF('Modules Progress'!$A:$A,$A7,'Modules Progress'!$N:$N),0)</x:f>
        <x:v>0.8014285714285716</x:v>
      </x:c>
      <x:c r="H7" s="9" t="str">
        <x:f t="shared" si="1"/>
        <x:v>🟡 In Progress</x:v>
      </x:c>
    </x:row>
    <x:row r="8">
      <x:c r="A8" s="6" t="s">
        <x:v>18</x:v>
      </x:c>
      <x:c r="B8" s="6" t="s">
        <x:v>15</x:v>
      </x:c>
      <x:c r="C8" s="8" t="s">
        <x:v>12</x:v>
      </x:c>
      <x:c r="D8" s="8" t="s">
        <x:v>16</x:v>
      </x:c>
      <x:c r="E8" s="12">
        <x:v>46218.0</x:v>
      </x:c>
      <x:c r="F8" s="12">
        <x:v>46280.0</x:v>
      </x:c>
      <x:c r="G8" s="13" t="n">
        <x:f>IFERROR(AVERAGEIF('Modules Progress'!$A:$A,$A8,'Modules Progress'!$N:$N),0)</x:f>
        <x:v>0.7583333333333334</x:v>
      </x:c>
      <x:c r="H8" s="9" t="str">
        <x:f t="shared" si="1"/>
        <x:v>🟢 Near Completion</x:v>
      </x:c>
    </x:row>
    <x:row r="9">
      <x:c r="A9" s="6" t="s">
        <x:v>19</x:v>
      </x:c>
      <x:c r="B9" s="6" t="s">
        <x:v>20</x:v>
      </x:c>
      <x:c r="C9" s="8" t="s">
        <x:v>12</x:v>
      </x:c>
      <x:c r="D9" s="8" t="s">
        <x:v>21</x:v>
      </x:c>
      <x:c r="E9" s="43" t="n">
        <x:v>46174</x:v>
      </x:c>
      <x:c r="F9" s="43" t="n">
        <x:v>46290</x:v>
      </x:c>
      <x:c r="G9" s="13" t="n">
        <x:f>IFERROR(AVERAGEIF('Modules Progress'!$A:$A,$A9,'Modules Progress'!$N:$N),0)</x:f>
        <x:v>0.7202727272727273</x:v>
      </x:c>
      <x:c r="H9" s="9" t="str">
        <x:f t="shared" si="1"/>
        <x:v>🟡 In Progress</x:v>
      </x:c>
    </x:row>
    <x:row r="10">
      <x:c r="A10" s="6" t="s">
        <x:v>22</x:v>
      </x:c>
      <x:c r="B10" s="6" t="s">
        <x:v>23</x:v>
      </x:c>
      <x:c r="C10" s="8" t="s">
        <x:v>12</x:v>
      </x:c>
      <x:c r="D10" s="8" t="s">
        <x:v>21</x:v>
      </x:c>
      <x:c r="E10" s="12">
        <x:v>46135.0</x:v>
      </x:c>
      <x:c r="F10" s="12">
        <x:v>46241.0</x:v>
      </x:c>
      <x:c r="G10" s="13" t="n">
        <x:f>IFERROR(AVERAGEIF('Modules Progress'!$A:$A,$A10,'Modules Progress'!$N:$N),0)</x:f>
        <x:v>0.9423076923076923</x:v>
      </x:c>
      <x:c r="H10" s="9" t="str">
        <x:f t="shared" si="1"/>
        <x:v>🟢 Near Completion</x:v>
      </x:c>
    </x:row>
    <x:row r="11">
      <x:c r="A11" s="6" t="s">
        <x:v>24</x:v>
      </x:c>
      <x:c r="B11" s="6" t="s">
        <x:v>25</x:v>
      </x:c>
      <x:c r="C11" s="8" t="s">
        <x:v>12</x:v>
      </x:c>
      <x:c r="D11" s="8" t="s">
        <x:v>21</x:v>
      </x:c>
      <x:c r="E11" s="12">
        <x:v>46129.0</x:v>
      </x:c>
      <x:c r="F11" s="12">
        <x:v>46187.0</x:v>
      </x:c>
      <x:c r="G11" s="13" t="n">
        <x:f>IFERROR(AVERAGEIF('Modules Progress'!$A:$A,$A11,'Modules Progress'!$N:$N),0)</x:f>
        <x:v>0.8528749999999999</x:v>
      </x:c>
      <x:c r="H11" s="9" t="str">
        <x:f t="shared" si="1"/>
        <x:v>✅ Completed</x:v>
      </x:c>
    </x:row>
    <x:row r="12">
      <x:c r="A12" s="6" t="s">
        <x:v>26</x:v>
      </x:c>
      <x:c r="B12" s="6" t="s">
        <x:v>27</x:v>
      </x:c>
      <x:c r="C12" s="8" t="s">
        <x:v>12</x:v>
      </x:c>
      <x:c r="D12" s="8" t="s">
        <x:v>28</x:v>
      </x:c>
      <x:c r="E12" s="12">
        <x:v>46193.0</x:v>
      </x:c>
      <x:c r="F12" s="12">
        <x:v>46235.0</x:v>
      </x:c>
      <x:c r="G12" s="13" t="n">
        <x:f>IFERROR(AVERAGEIF('Modules Progress'!$A:$A,$A12,'Modules Progress'!$N:$N),0)</x:f>
        <x:v>0.9416666666666668</x:v>
      </x:c>
      <x:c r="H12" s="9" t="str">
        <x:f t="shared" si="1"/>
        <x:v>🟢 Near Completion</x:v>
      </x:c>
    </x:row>
    <x:row r="13">
      <x:c r="A13" s="6" t="s">
        <x:v>29</x:v>
      </x:c>
      <x:c r="B13" s="6" t="s">
        <x:v>27</x:v>
      </x:c>
      <x:c r="C13" s="8"/>
      <x:c r="D13" s="8" t="s">
        <x:v>16</x:v>
      </x:c>
      <x:c r="E13" s="8" t="s">
        <x:v>30</x:v>
      </x:c>
      <x:c r="F13" s="12"/>
      <x:c r="G13" s="13" t="n">
        <x:f>IFERROR(AVERAGEIF('Modules Progress'!$A:$A,$A13,'Modules Progress'!$N:$N),0)</x:f>
        <x:v>0</x:v>
      </x:c>
      <x:c r="H13" s="9" t="str">
        <x:f t="shared" si="1"/>
        <x:v>✅ Completed</x:v>
      </x:c>
    </x:row>
    <x:row r="14">
      <x:c r="A14" s="6" t="s">
        <x:v>31</x:v>
      </x:c>
      <x:c r="B14" s="6" t="s">
        <x:v>32</x:v>
      </x:c>
      <x:c r="C14" s="8"/>
      <x:c r="D14" s="8" t="s">
        <x:v>16</x:v>
      </x:c>
      <x:c r="E14" s="8" t="s">
        <x:v>33</x:v>
      </x:c>
      <x:c r="F14" s="12"/>
      <x:c r="G14" s="13" t="n">
        <x:f>IFERROR(AVERAGEIF('Modules Progress'!$A:$A,$A14,'Modules Progress'!$N:$N),0)</x:f>
        <x:v>0</x:v>
      </x:c>
      <x:c r="H14" s="9" t="str">
        <x:f t="shared" si="1"/>
        <x:v>🔴 Delayed</x:v>
      </x:c>
    </x:row>
    <x:row r="15">
      <x:c r="A15" s="6" t="s">
        <x:v>34</x:v>
      </x:c>
      <x:c r="B15" s="6" t="s">
        <x:v>35</x:v>
      </x:c>
      <x:c r="C15" s="8"/>
      <x:c r="D15" s="8" t="s">
        <x:v>21</x:v>
      </x:c>
      <x:c r="E15" s="12"/>
      <x:c r="F15" s="12"/>
      <x:c r="G15" s="13" t="n">
        <x:f>IFERROR(AVERAGEIF('Modules Progress'!$A:$A,$A15,'Modules Progress'!$N:$N),0)</x:f>
        <x:v>0</x:v>
      </x:c>
      <x:c r="H15" s="9" t="str">
        <x:f t="shared" si="1"/>
        <x:v>🔴 Delayed</x:v>
      </x:c>
    </x:row>
    <x:row r="16">
      <x:c r="A16" s="6" t="s">
        <x:v>36</x:v>
      </x:c>
      <x:c r="B16" s="6" t="s">
        <x:v>37</x:v>
      </x:c>
      <x:c r="C16" s="8"/>
      <x:c r="D16" s="8" t="s">
        <x:v>38</x:v>
      </x:c>
      <x:c r="E16" s="12"/>
      <x:c r="F16" s="12"/>
      <x:c r="G16" s="13" t="n">
        <x:f>IFERROR(AVERAGEIF('Modules Progress'!$A:$A,$A16,'Modules Progress'!$N:$N),0)</x:f>
        <x:v>0</x:v>
      </x:c>
      <x:c r="H16" s="9" t="str">
        <x:f t="shared" si="1"/>
        <x:v>🔴 Delayed</x:v>
      </x:c>
    </x:row>
    <x:row r="17">
      <x:c r="A17" s="6" t="s">
        <x:v>39</x:v>
      </x:c>
      <x:c r="B17" s="6" t="s">
        <x:v>23</x:v>
      </x:c>
      <x:c r="C17" s="8" t="s">
        <x:v>12</x:v>
      </x:c>
      <x:c r="D17" s="8" t="s">
        <x:v>28</x:v>
      </x:c>
      <x:c r="E17" s="12">
        <x:v>46055.0</x:v>
      </x:c>
      <x:c r="F17" s="12">
        <x:v>46241.0</x:v>
      </x:c>
      <x:c r="G17" s="13" t="n">
        <x:f>IFERROR(AVERAGEIF('Modules Progress'!$A:$A,$A17,'Modules Progress'!$N:$N),0)</x:f>
        <x:v>1</x:v>
      </x:c>
      <x:c r="H17" s="9" t="str">
        <x:f t="shared" si="1"/>
        <x:v>✅ Completed</x:v>
      </x:c>
    </x:row>
    <x:row r="18">
      <x:c r="A18" s="6" t="s">
        <x:v>40</x:v>
      </x:c>
      <x:c r="B18" s="8" t="s">
        <x:v>41</x:v>
      </x:c>
      <x:c r="C18" s="15"/>
      <x:c r="D18" s="8" t="s">
        <x:v>38</x:v>
      </x:c>
      <x:c r="E18" s="20"/>
      <x:c r="F18" s="20"/>
      <x:c r="G18" s="13" t="n">
        <x:f>IFERROR(AVERAGEIF('Modules Progress'!$A:$A,$A18,'Modules Progress'!$N:$N),0)</x:f>
        <x:v>0</x:v>
      </x:c>
      <x:c r="H18" s="9" t="str">
        <x:f t="shared" si="1"/>
        <x:v>🔴 Delayed</x:v>
      </x:c>
    </x:row>
    <x:row r="19">
      <x:c r="A19" s="21" t="s">
        <x:v>42</x:v>
      </x:c>
      <x:c r="B19" s="15"/>
      <x:c r="C19" s="15"/>
      <x:c r="D19" s="15"/>
      <x:c r="E19" s="20"/>
      <x:c r="F19" s="20"/>
      <x:c r="G19" s="13"/>
      <x:c r="H19" s="9"/>
    </x:row>
    <x:row r="20">
      <x:c r="A20" s="6" t="s">
        <x:v>34</x:v>
      </x:c>
      <x:c r="B20" s="6" t="s">
        <x:v>43</x:v>
      </x:c>
      <x:c r="C20" s="8" t="s">
        <x:v>12</x:v>
      </x:c>
      <x:c r="D20" s="8" t="s">
        <x:v>16</x:v>
      </x:c>
      <x:c r="E20" s="20"/>
      <x:c r="F20" s="20"/>
      <x:c r="G20" s="13" t="n">
        <x:f>IFERROR(AVERAGEIF('Modules Progress'!$A:$A,$A20,'Modules Progress'!$N:$N),0)</x:f>
        <x:v>0</x:v>
      </x:c>
      <x:c r="H20" s="9" t="str">
        <x:f t="shared" ref="H20:H22" si="2">IF(G20&gt;=1,"✅ Completed",IF(G20&gt;=0.71,"🟢 Near Completion",IF(G20&gt;=0.31,"🟡 In Progress","🔴 Delayed")))</x:f>
        <x:v>🔴 Delayed</x:v>
      </x:c>
    </x:row>
    <x:row r="21">
      <x:c r="A21" s="6" t="s">
        <x:v>44</x:v>
      </x:c>
      <x:c r="B21" s="6" t="s">
        <x:v>45</x:v>
      </x:c>
      <x:c r="C21" s="8" t="s">
        <x:v>12</x:v>
      </x:c>
      <x:c r="D21" s="8" t="s">
        <x:v>28</x:v>
      </x:c>
      <x:c r="E21" s="20"/>
      <x:c r="F21" s="20"/>
      <x:c r="G21" s="13" t="n">
        <x:f>IFERROR(AVERAGEIF('Modules Progress'!$A:$A,$A21,'Modules Progress'!$N:$N),0)</x:f>
        <x:v>0</x:v>
      </x:c>
      <x:c r="H21" s="9" t="str">
        <x:f t="shared" si="2"/>
        <x:v>🔴 Delayed</x:v>
      </x:c>
    </x:row>
    <x:row r="22">
      <x:c r="A22" s="6" t="s">
        <x:v>46</x:v>
      </x:c>
      <x:c r="B22" s="6" t="s">
        <x:v>43</x:v>
      </x:c>
      <x:c r="C22" s="15"/>
      <x:c r="D22" s="8" t="s">
        <x:v>28</x:v>
      </x:c>
      <x:c r="E22" s="12">
        <x:v>46241.0</x:v>
      </x:c>
      <x:c r="F22" s="12">
        <x:v>46250.0</x:v>
      </x:c>
      <x:c r="G22" s="13" t="n">
        <x:f>IFERROR(AVERAGEIF('Modules Progress'!$A:$A,$A22,'Modules Progress'!$N:$N),0)</x:f>
        <x:v>0</x:v>
      </x:c>
      <x:c r="H22" s="9" t="str">
        <x:f t="shared" si="2"/>
        <x:v>✅ Completed</x:v>
      </x:c>
    </x:row>
    <x:row r="23">
      <x:c r="A23" s="21"/>
      <x:c r="B23" s="15"/>
      <x:c r="C23" s="15"/>
      <x:c r="D23" s="15"/>
      <x:c r="E23" s="20"/>
      <x:c r="F23" s="20"/>
      <x:c r="G23" s="13"/>
      <x:c r="H23" s="9"/>
    </x:row>
    <x:row r="24">
      <x:c r="A24" s="21" t="s">
        <x:v>47</x:v>
      </x:c>
      <x:c r="B24" s="15"/>
      <x:c r="C24" s="15"/>
      <x:c r="D24" s="15"/>
      <x:c r="E24" s="20"/>
      <x:c r="F24" s="20"/>
      <x:c r="G24" s="13"/>
      <x:c r="H24" s="9"/>
    </x:row>
    <x:row r="25">
      <x:c r="A25" s="24" t="s">
        <x:v>48</x:v>
      </x:c>
      <x:c r="B25" s="8" t="s">
        <x:v>49</x:v>
      </x:c>
      <x:c r="C25" s="8" t="s">
        <x:v>12</x:v>
      </x:c>
      <x:c r="D25" s="15"/>
      <x:c r="E25" s="20"/>
      <x:c r="F25" s="20"/>
      <x:c r="G25" s="13"/>
      <x:c r="H25" s="9"/>
    </x:row>
    <x:row r="26">
      <x:c r="A26" s="24" t="s">
        <x:v>31</x:v>
      </x:c>
      <x:c r="B26" s="8" t="s">
        <x:v>50</x:v>
      </x:c>
      <x:c r="C26" s="8" t="s">
        <x:v>12</x:v>
      </x:c>
      <x:c r="D26" s="15"/>
      <x:c r="E26" s="20"/>
      <x:c r="F26" s="20"/>
      <x:c r="G26" s="13"/>
      <x:c r="H26" s="9"/>
    </x:row>
    <x:row r="27">
      <x:c r="A27" s="24"/>
      <x:c r="B27" s="15"/>
      <x:c r="C27" s="15"/>
      <x:c r="D27" s="15"/>
      <x:c r="E27" s="20"/>
      <x:c r="F27" s="20"/>
      <x:c r="G27" s="13"/>
      <x:c r="H27" s="9"/>
    </x:row>
    <x:row r="29" ht="18" customHeight="1">
      <x:c r="A29" s="18" t="s">
        <x:v>51</x:v>
      </x:c>
      <x:c r="B29" s="3" t="s">
        <x:v>52</x:v>
      </x:c>
    </x:row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  <x:row r="1014" ht="15.75" customHeight="1"/>
    <x:row r="1015" ht="15.75" customHeight="1"/>
    <x:row r="1016" ht="15.75" customHeight="1"/>
    <x:row r="1017" ht="15.75" customHeight="1"/>
    <x:row r="1018" ht="15.75" customHeight="1"/>
    <x:row r="1019" ht="15.75" customHeight="1"/>
    <x:row r="1020" ht="15.75" customHeight="1"/>
  </x:sheetData>
  <x:mergeCells>
    <x:mergeCell ref="A1:H1"/>
    <x:mergeCell ref="A2:H2"/>
    <x:mergeCell ref="B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2" max="2" width="21.290000915527344" customWidth="1"/>
    <x:col min="3" max="3" width="32.13999938964844" customWidth="1"/>
  </x:cols>
  <x:sheetData>
    <x:row r="1">
      <x:c r="A1" s="1" t="s">
        <x:v>53</x:v>
      </x:c>
      <x:c r="B1" s="1" t="s">
        <x:v>54</x:v>
      </x:c>
      <x:c r="C1" s="1" t="s">
        <x:v>55</x:v>
      </x:c>
    </x:row>
    <x:row r="2">
      <x:c r="A2" s="1" t="s">
        <x:v>13</x:v>
      </x:c>
      <x:c r="B2" s="1" t="s">
        <x:v>56</x:v>
      </x:c>
    </x:row>
    <x:row r="3">
      <x:c r="A3" s="1" t="s">
        <x:v>16</x:v>
      </x:c>
      <x:c r="B3" s="1" t="s">
        <x:v>57</x:v>
      </x:c>
    </x:row>
    <x:row r="4">
      <x:c r="A4" s="1" t="s">
        <x:v>21</x:v>
      </x:c>
      <x:c r="B4" s="1" t="s">
        <x:v>58</x:v>
      </x:c>
    </x:row>
    <x:row r="5">
      <x:c r="A5" s="1" t="s">
        <x:v>28</x:v>
      </x:c>
      <x:c r="B5" s="1" t="s">
        <x:v>59</x:v>
      </x:c>
    </x:row>
    <x:row r="6">
      <x:c r="A6" s="1" t="s">
        <x:v>38</x:v>
      </x:c>
      <x:c r="B6" s="1" t="s">
        <x:v>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14.430000305175781" defaultRowHeight="15"/>
  <x:cols>
    <x:col min="1" max="1" width="43.290000915527344" customWidth="1"/>
    <x:col min="2" max="2" width="47" customWidth="1"/>
    <x:col min="3" max="3" width="15.140000343322754" customWidth="1"/>
    <x:col min="4" max="9" width="10.569999694824219" customWidth="1"/>
    <x:col min="10" max="10" width="12.569999694824219" customWidth="1"/>
    <x:col min="11" max="11" width="15.289999961853027" customWidth="1"/>
    <x:col min="12" max="12" width="10.140000343322754" customWidth="1"/>
    <x:col min="13" max="13" width="16" customWidth="1"/>
    <x:col min="14" max="14" width="14" customWidth="1"/>
    <x:col min="15" max="15" width="26.290000915527344" customWidth="1"/>
    <x:col min="16" max="16" width="22" customWidth="1"/>
    <x:col min="17" max="26" width="8.710000038146973" customWidth="1"/>
  </x:cols>
  <x:sheetData>
    <x:row r="1" ht="21.75" customHeight="1">
      <x:c r="A1" s="2" t="s">
        <x:v>61</x:v>
      </x:c>
    </x:row>
    <x:row r="2" ht="15" customHeight="1">
      <x:c r="A2" s="3" t="s">
        <x:v>62</x:v>
      </x:c>
    </x:row>
    <x:row r="4">
      <x:c r="A4" s="4" t="s">
        <x:v>63</x:v>
      </x:c>
      <x:c r="B4" s="5" t="s">
        <x:v>64</x:v>
      </x:c>
      <x:c r="C4" s="4" t="s">
        <x:v>65</x:v>
      </x:c>
      <x:c r="D4" s="4" t="s">
        <x:v>66</x:v>
      </x:c>
      <x:c r="E4" s="4" t="s">
        <x:v>67</x:v>
      </x:c>
      <x:c r="F4" s="4" t="s">
        <x:v>68</x:v>
      </x:c>
      <x:c r="G4" s="4" t="s">
        <x:v>69</x:v>
      </x:c>
      <x:c r="H4" s="4" t="s">
        <x:v>70</x:v>
      </x:c>
      <x:c r="I4" s="4" t="s">
        <x:v>71</x:v>
      </x:c>
      <x:c r="J4" s="4" t="s">
        <x:v>72</x:v>
      </x:c>
      <x:c r="K4" s="4" t="s">
        <x:v>73</x:v>
      </x:c>
      <x:c r="L4" s="4" t="s">
        <x:v>74</x:v>
      </x:c>
      <x:c r="M4" s="4" t="s">
        <x:v>42</x:v>
      </x:c>
      <x:c r="N4" s="4" t="s">
        <x:v>75</x:v>
      </x:c>
      <x:c r="O4" s="4" t="s">
        <x:v>9</x:v>
      </x:c>
      <x:c r="P4" s="4" t="s">
        <x:v>76</x:v>
      </x:c>
    </x:row>
    <x:row r="5">
      <x:c r="A5" s="6" t="s">
        <x:v>10</x:v>
      </x:c>
      <x:c r="B5" s="7" t="s">
        <x:v>77</x:v>
      </x:c>
      <x:c r="C5" s="8" t="s">
        <x:v>13</x:v>
      </x:c>
      <x:c r="D5" s="10">
        <x:v>1.0</x:v>
      </x:c>
      <x:c r="E5" s="11">
        <x:v>1.0</x:v>
      </x:c>
      <x:c r="F5" s="11">
        <x:v>1.0</x:v>
      </x:c>
      <x:c r="G5" s="11">
        <x:v>1.0</x:v>
      </x:c>
      <x:c r="H5" s="11">
        <x:v>1.0</x:v>
      </x:c>
      <x:c r="I5" s="11">
        <x:v>0.95</x:v>
      </x:c>
      <x:c r="J5" s="11">
        <x:v>1.0</x:v>
      </x:c>
      <x:c r="K5" s="11">
        <x:v>1.0</x:v>
      </x:c>
      <x:c r="L5" s="11">
        <x:v>0.9</x:v>
      </x:c>
      <x:c r="M5" s="11">
        <x:v>0.2</x:v>
      </x:c>
      <x:c r="N5" s="13" t="n">
        <x:f>D5*'SDLC Weight'!$B$5+E5*'SDLC Weight'!$B$6+F5*'SDLC Weight'!$B$7+G5*'SDLC Weight'!$B$8+H5*'SDLC Weight'!$B$9+I5*'SDLC Weight'!$B$10+J5*'SDLC Weight'!$B$11+K5*'SDLC Weight'!$B$12+L5*'SDLC Weight'!$B$13+M5*'SDLC Weight'!$B$14</x:f>
        <x:v>0.9760000000000001</x:v>
      </x:c>
      <x:c r="O5" s="15" t="s">
        <x:v>78</x:v>
      </x:c>
      <x:c r="P5" s="14"/>
    </x:row>
    <x:row r="6">
      <x:c r="A6" s="6" t="s">
        <x:v>10</x:v>
      </x:c>
      <x:c r="B6" s="7" t="s">
        <x:v>79</x:v>
      </x:c>
      <x:c r="C6" s="8" t="s">
        <x:v>13</x:v>
      </x:c>
      <x:c r="D6" s="10">
        <x:v>1.0</x:v>
      </x:c>
      <x:c r="E6" s="11">
        <x:v>1.0</x:v>
      </x:c>
      <x:c r="F6" s="11">
        <x:v>1.0</x:v>
      </x:c>
      <x:c r="G6" s="11">
        <x:v>1.0</x:v>
      </x:c>
      <x:c r="H6" s="11">
        <x:v>1.0</x:v>
      </x:c>
      <x:c r="I6" s="11">
        <x:v>0.95</x:v>
      </x:c>
      <x:c r="J6" s="11">
        <x:v>1.0</x:v>
      </x:c>
      <x:c r="K6" s="11">
        <x:v>1.0</x:v>
      </x:c>
      <x:c r="L6" s="11">
        <x:v>0.9</x:v>
      </x:c>
      <x:c r="M6" s="11">
        <x:v>0.2</x:v>
      </x:c>
      <x:c r="N6" s="13" t="n">
        <x:f>D6*'SDLC Weight'!$B$5+E6*'SDLC Weight'!$B$6+F6*'SDLC Weight'!$B$7+G6*'SDLC Weight'!$B$8+H6*'SDLC Weight'!$B$9+I6*'SDLC Weight'!$B$10+J6*'SDLC Weight'!$B$11+K6*'SDLC Weight'!$B$12+L6*'SDLC Weight'!$B$13+M6*'SDLC Weight'!$B$14</x:f>
        <x:v>0.9760000000000001</x:v>
      </x:c>
      <x:c r="O6" s="15" t="s">
        <x:v>78</x:v>
      </x:c>
      <x:c r="P6" s="14"/>
    </x:row>
    <x:row r="7">
      <x:c r="A7" s="6" t="s">
        <x:v>10</x:v>
      </x:c>
      <x:c r="B7" s="7" t="s">
        <x:v>80</x:v>
      </x:c>
      <x:c r="C7" s="8" t="s">
        <x:v>13</x:v>
      </x:c>
      <x:c r="D7" s="10">
        <x:v>1.0</x:v>
      </x:c>
      <x:c r="E7" s="11">
        <x:v>1.0</x:v>
      </x:c>
      <x:c r="F7" s="11">
        <x:v>1.0</x:v>
      </x:c>
      <x:c r="G7" s="11">
        <x:v>1.0</x:v>
      </x:c>
      <x:c r="H7" s="11">
        <x:v>1.0</x:v>
      </x:c>
      <x:c r="I7" s="11">
        <x:v>0.95</x:v>
      </x:c>
      <x:c r="J7" s="11">
        <x:v>1.0</x:v>
      </x:c>
      <x:c r="K7" s="11">
        <x:v>1.0</x:v>
      </x:c>
      <x:c r="L7" s="11">
        <x:v>0.9</x:v>
      </x:c>
      <x:c r="M7" s="11">
        <x:v>0.2</x:v>
      </x:c>
      <x:c r="N7" s="13" t="n">
        <x:f>D7*'SDLC Weight'!$B$5+E7*'SDLC Weight'!$B$6+F7*'SDLC Weight'!$B$7+G7*'SDLC Weight'!$B$8+H7*'SDLC Weight'!$B$9+I7*'SDLC Weight'!$B$10+J7*'SDLC Weight'!$B$11+K7*'SDLC Weight'!$B$12+L7*'SDLC Weight'!$B$13+M7*'SDLC Weight'!$B$14</x:f>
        <x:v>0.9760000000000001</x:v>
      </x:c>
      <x:c r="O7" s="15" t="s">
        <x:v>78</x:v>
      </x:c>
      <x:c r="P7" s="14"/>
    </x:row>
    <x:row r="8">
      <x:c r="A8" s="6" t="s">
        <x:v>10</x:v>
      </x:c>
      <x:c r="B8" s="7" t="s">
        <x:v>81</x:v>
      </x:c>
      <x:c r="C8" s="8" t="s">
        <x:v>13</x:v>
      </x:c>
      <x:c r="D8" s="10">
        <x:v>1.0</x:v>
      </x:c>
      <x:c r="E8" s="11">
        <x:v>1.0</x:v>
      </x:c>
      <x:c r="F8" s="11">
        <x:v>1.0</x:v>
      </x:c>
      <x:c r="G8" s="11">
        <x:v>1.0</x:v>
      </x:c>
      <x:c r="H8" s="11">
        <x:v>1.0</x:v>
      </x:c>
      <x:c r="I8" s="11">
        <x:v>0.95</x:v>
      </x:c>
      <x:c r="J8" s="11">
        <x:v>1.0</x:v>
      </x:c>
      <x:c r="K8" s="11">
        <x:v>1.0</x:v>
      </x:c>
      <x:c r="L8" s="11">
        <x:v>0.9</x:v>
      </x:c>
      <x:c r="M8" s="11">
        <x:v>0.2</x:v>
      </x:c>
      <x:c r="N8" s="13" t="n">
        <x:f>D8*'SDLC Weight'!$B$5+E8*'SDLC Weight'!$B$6+F8*'SDLC Weight'!$B$7+G8*'SDLC Weight'!$B$8+H8*'SDLC Weight'!$B$9+I8*'SDLC Weight'!$B$10+J8*'SDLC Weight'!$B$11+K8*'SDLC Weight'!$B$12+L8*'SDLC Weight'!$B$13+M8*'SDLC Weight'!$B$14</x:f>
        <x:v>0.9760000000000001</x:v>
      </x:c>
      <x:c r="O8" s="15" t="s">
        <x:v>78</x:v>
      </x:c>
      <x:c r="P8" s="14"/>
    </x:row>
    <x:row r="9">
      <x:c r="A9" s="6" t="s">
        <x:v>10</x:v>
      </x:c>
      <x:c r="B9" s="7" t="s">
        <x:v>82</x:v>
      </x:c>
      <x:c r="C9" s="8" t="s">
        <x:v>13</x:v>
      </x:c>
      <x:c r="D9" s="10">
        <x:v>1.0</x:v>
      </x:c>
      <x:c r="E9" s="11">
        <x:v>1.0</x:v>
      </x:c>
      <x:c r="F9" s="11">
        <x:v>1.0</x:v>
      </x:c>
      <x:c r="G9" s="11">
        <x:v>1.0</x:v>
      </x:c>
      <x:c r="H9" s="11">
        <x:v>1.0</x:v>
      </x:c>
      <x:c r="I9" s="11">
        <x:v>0.95</x:v>
      </x:c>
      <x:c r="J9" s="11">
        <x:v>1.0</x:v>
      </x:c>
      <x:c r="K9" s="11">
        <x:v>1.0</x:v>
      </x:c>
      <x:c r="L9" s="11">
        <x:v>0.9</x:v>
      </x:c>
      <x:c r="M9" s="11">
        <x:v>0.2</x:v>
      </x:c>
      <x:c r="N9" s="13" t="n">
        <x:f>D9*'SDLC Weight'!$B$5+E9*'SDLC Weight'!$B$6+F9*'SDLC Weight'!$B$7+G9*'SDLC Weight'!$B$8+H9*'SDLC Weight'!$B$9+I9*'SDLC Weight'!$B$10+J9*'SDLC Weight'!$B$11+K9*'SDLC Weight'!$B$12+L9*'SDLC Weight'!$B$13+M9*'SDLC Weight'!$B$14</x:f>
        <x:v>0.9760000000000001</x:v>
      </x:c>
      <x:c r="O9" s="15" t="s">
        <x:v>78</x:v>
      </x:c>
      <x:c r="P9" s="14"/>
    </x:row>
    <x:row r="10">
      <x:c r="A10" s="6" t="s">
        <x:v>10</x:v>
      </x:c>
      <x:c r="B10" s="7" t="s">
        <x:v>83</x:v>
      </x:c>
      <x:c r="C10" s="8" t="s">
        <x:v>13</x:v>
      </x:c>
      <x:c r="D10" s="10">
        <x:v>1.0</x:v>
      </x:c>
      <x:c r="E10" s="11">
        <x:v>1.0</x:v>
      </x:c>
      <x:c r="F10" s="11">
        <x:v>1.0</x:v>
      </x:c>
      <x:c r="G10" s="11">
        <x:v>1.0</x:v>
      </x:c>
      <x:c r="H10" s="11">
        <x:v>1.0</x:v>
      </x:c>
      <x:c r="I10" s="11">
        <x:v>0.95</x:v>
      </x:c>
      <x:c r="J10" s="11">
        <x:v>1.0</x:v>
      </x:c>
      <x:c r="K10" s="11">
        <x:v>1.0</x:v>
      </x:c>
      <x:c r="L10" s="11">
        <x:v>0.9</x:v>
      </x:c>
      <x:c r="M10" s="11">
        <x:v>0.2</x:v>
      </x:c>
      <x:c r="N10" s="13" t="n">
        <x:f>D10*'SDLC Weight'!$B$5+E10*'SDLC Weight'!$B$6+F10*'SDLC Weight'!$B$7+G10*'SDLC Weight'!$B$8+H10*'SDLC Weight'!$B$9+I10*'SDLC Weight'!$B$10+J10*'SDLC Weight'!$B$11+K10*'SDLC Weight'!$B$12+L10*'SDLC Weight'!$B$13+M10*'SDLC Weight'!$B$14</x:f>
        <x:v>0.9760000000000001</x:v>
      </x:c>
      <x:c r="O10" s="15" t="s">
        <x:v>78</x:v>
      </x:c>
      <x:c r="P10" s="14"/>
    </x:row>
    <x:row r="11">
      <x:c r="A11" s="6" t="s">
        <x:v>10</x:v>
      </x:c>
      <x:c r="B11" s="7" t="s">
        <x:v>84</x:v>
      </x:c>
      <x:c r="C11" s="8" t="s">
        <x:v>13</x:v>
      </x:c>
      <x:c r="D11" s="10">
        <x:v>1.0</x:v>
      </x:c>
      <x:c r="E11" s="11">
        <x:v>1.0</x:v>
      </x:c>
      <x:c r="F11" s="11">
        <x:v>1.0</x:v>
      </x:c>
      <x:c r="G11" s="11">
        <x:v>1.0</x:v>
      </x:c>
      <x:c r="H11" s="11">
        <x:v>1.0</x:v>
      </x:c>
      <x:c r="I11" s="11">
        <x:v>0.95</x:v>
      </x:c>
      <x:c r="J11" s="11">
        <x:v>1.0</x:v>
      </x:c>
      <x:c r="K11" s="11">
        <x:v>1.0</x:v>
      </x:c>
      <x:c r="L11" s="11">
        <x:v>0.9</x:v>
      </x:c>
      <x:c r="M11" s="11">
        <x:v>0.2</x:v>
      </x:c>
      <x:c r="N11" s="13" t="n">
        <x:f>D11*'SDLC Weight'!$B$5+E11*'SDLC Weight'!$B$6+F11*'SDLC Weight'!$B$7+G11*'SDLC Weight'!$B$8+H11*'SDLC Weight'!$B$9+I11*'SDLC Weight'!$B$10+J11*'SDLC Weight'!$B$11+K11*'SDLC Weight'!$B$12+L11*'SDLC Weight'!$B$13+M11*'SDLC Weight'!$B$14</x:f>
        <x:v>0.9760000000000001</x:v>
      </x:c>
      <x:c r="O11" s="15" t="s">
        <x:v>78</x:v>
      </x:c>
      <x:c r="P11" s="14"/>
    </x:row>
    <x:row r="12">
      <x:c r="A12" s="6" t="s">
        <x:v>10</x:v>
      </x:c>
      <x:c r="B12" s="7" t="s">
        <x:v>85</x:v>
      </x:c>
      <x:c r="C12" s="8" t="s">
        <x:v>13</x:v>
      </x:c>
      <x:c r="D12" s="10">
        <x:v>1.0</x:v>
      </x:c>
      <x:c r="E12" s="11">
        <x:v>1.0</x:v>
      </x:c>
      <x:c r="F12" s="11">
        <x:v>1.0</x:v>
      </x:c>
      <x:c r="G12" s="11">
        <x:v>1.0</x:v>
      </x:c>
      <x:c r="H12" s="11">
        <x:v>1.0</x:v>
      </x:c>
      <x:c r="I12" s="11">
        <x:v>0.95</x:v>
      </x:c>
      <x:c r="J12" s="11">
        <x:v>1.0</x:v>
      </x:c>
      <x:c r="K12" s="11">
        <x:v>1.0</x:v>
      </x:c>
      <x:c r="L12" s="11">
        <x:v>0.9</x:v>
      </x:c>
      <x:c r="M12" s="11">
        <x:v>0.2</x:v>
      </x:c>
      <x:c r="N12" s="13" t="n">
        <x:f>D12*'SDLC Weight'!$B$5+E12*'SDLC Weight'!$B$6+F12*'SDLC Weight'!$B$7+G12*'SDLC Weight'!$B$8+H12*'SDLC Weight'!$B$9+I12*'SDLC Weight'!$B$10+J12*'SDLC Weight'!$B$11+K12*'SDLC Weight'!$B$12+L12*'SDLC Weight'!$B$13+M12*'SDLC Weight'!$B$14</x:f>
        <x:v>0.9760000000000001</x:v>
      </x:c>
      <x:c r="O12" s="15" t="s">
        <x:v>78</x:v>
      </x:c>
      <x:c r="P12" s="14"/>
    </x:row>
    <x:row r="13">
      <x:c r="A13" s="6" t="s">
        <x:v>10</x:v>
      </x:c>
      <x:c r="B13" s="7" t="s">
        <x:v>86</x:v>
      </x:c>
      <x:c r="C13" s="8" t="s">
        <x:v>13</x:v>
      </x:c>
      <x:c r="D13" s="10">
        <x:v>1.0</x:v>
      </x:c>
      <x:c r="E13" s="11">
        <x:v>1.0</x:v>
      </x:c>
      <x:c r="F13" s="11">
        <x:v>1.0</x:v>
      </x:c>
      <x:c r="G13" s="11">
        <x:v>1.0</x:v>
      </x:c>
      <x:c r="H13" s="11">
        <x:v>1.0</x:v>
      </x:c>
      <x:c r="I13" s="11">
        <x:v>0.95</x:v>
      </x:c>
      <x:c r="J13" s="11">
        <x:v>1.0</x:v>
      </x:c>
      <x:c r="K13" s="11">
        <x:v>1.0</x:v>
      </x:c>
      <x:c r="L13" s="11">
        <x:v>0.9</x:v>
      </x:c>
      <x:c r="M13" s="11">
        <x:v>0.2</x:v>
      </x:c>
      <x:c r="N13" s="13" t="n">
        <x:f>D13*'SDLC Weight'!$B$5+E13*'SDLC Weight'!$B$6+F13*'SDLC Weight'!$B$7+G13*'SDLC Weight'!$B$8+H13*'SDLC Weight'!$B$9+I13*'SDLC Weight'!$B$10+J13*'SDLC Weight'!$B$11+K13*'SDLC Weight'!$B$12+L13*'SDLC Weight'!$B$13+M13*'SDLC Weight'!$B$14</x:f>
        <x:v>0.9760000000000001</x:v>
      </x:c>
      <x:c r="O13" s="15" t="s">
        <x:v>78</x:v>
      </x:c>
      <x:c r="P13" s="14"/>
    </x:row>
    <x:row r="14">
      <x:c r="A14" s="6" t="s">
        <x:v>10</x:v>
      </x:c>
      <x:c r="B14" s="7" t="s">
        <x:v>87</x:v>
      </x:c>
      <x:c r="C14" s="8" t="s">
        <x:v>13</x:v>
      </x:c>
      <x:c r="D14" s="10">
        <x:v>1.0</x:v>
      </x:c>
      <x:c r="E14" s="11">
        <x:v>1.0</x:v>
      </x:c>
      <x:c r="F14" s="11">
        <x:v>1.0</x:v>
      </x:c>
      <x:c r="G14" s="11">
        <x:v>1.0</x:v>
      </x:c>
      <x:c r="H14" s="11">
        <x:v>1.0</x:v>
      </x:c>
      <x:c r="I14" s="11">
        <x:v>0.95</x:v>
      </x:c>
      <x:c r="J14" s="11">
        <x:v>1.0</x:v>
      </x:c>
      <x:c r="K14" s="11">
        <x:v>1.0</x:v>
      </x:c>
      <x:c r="L14" s="11">
        <x:v>0.9</x:v>
      </x:c>
      <x:c r="M14" s="11">
        <x:v>0.2</x:v>
      </x:c>
      <x:c r="N14" s="13" t="n">
        <x:f>D14*'SDLC Weight'!$B$5+E14*'SDLC Weight'!$B$6+F14*'SDLC Weight'!$B$7+G14*'SDLC Weight'!$B$8+H14*'SDLC Weight'!$B$9+I14*'SDLC Weight'!$B$10+J14*'SDLC Weight'!$B$11+K14*'SDLC Weight'!$B$12+L14*'SDLC Weight'!$B$13+M14*'SDLC Weight'!$B$14</x:f>
        <x:v>0.9760000000000001</x:v>
      </x:c>
      <x:c r="O14" s="15" t="s">
        <x:v>78</x:v>
      </x:c>
      <x:c r="P14" s="14"/>
    </x:row>
    <x:row r="15">
      <x:c r="A15" s="6" t="s">
        <x:v>10</x:v>
      </x:c>
      <x:c r="B15" s="7" t="s">
        <x:v>88</x:v>
      </x:c>
      <x:c r="C15" s="8" t="s">
        <x:v>13</x:v>
      </x:c>
      <x:c r="D15" s="10">
        <x:v>1.0</x:v>
      </x:c>
      <x:c r="E15" s="11">
        <x:v>1.0</x:v>
      </x:c>
      <x:c r="F15" s="11">
        <x:v>1.0</x:v>
      </x:c>
      <x:c r="G15" s="11">
        <x:v>1.0</x:v>
      </x:c>
      <x:c r="H15" s="11">
        <x:v>1.0</x:v>
      </x:c>
      <x:c r="I15" s="11">
        <x:v>0.95</x:v>
      </x:c>
      <x:c r="J15" s="11">
        <x:v>1.0</x:v>
      </x:c>
      <x:c r="K15" s="11">
        <x:v>1.0</x:v>
      </x:c>
      <x:c r="L15" s="11">
        <x:v>0.9</x:v>
      </x:c>
      <x:c r="M15" s="11">
        <x:v>0.2</x:v>
      </x:c>
      <x:c r="N15" s="13" t="n">
        <x:f>D15*'SDLC Weight'!$B$5+E15*'SDLC Weight'!$B$6+F15*'SDLC Weight'!$B$7+G15*'SDLC Weight'!$B$8+H15*'SDLC Weight'!$B$9+I15*'SDLC Weight'!$B$10+J15*'SDLC Weight'!$B$11+K15*'SDLC Weight'!$B$12+L15*'SDLC Weight'!$B$13+M15*'SDLC Weight'!$B$14</x:f>
        <x:v>0.9760000000000001</x:v>
      </x:c>
      <x:c r="O15" s="15" t="s">
        <x:v>78</x:v>
      </x:c>
      <x:c r="P15" s="14"/>
    </x:row>
    <x:row r="16">
      <x:c r="A16" s="6" t="s">
        <x:v>14</x:v>
      </x:c>
      <x:c r="B16" s="7" t="s">
        <x:v>89</x:v>
      </x:c>
      <x:c r="C16" s="8" t="s">
        <x:v>16</x:v>
      </x:c>
      <x:c r="D16" s="10">
        <x:v>1.0</x:v>
      </x:c>
      <x:c r="E16" s="10">
        <x:v>1.0</x:v>
      </x:c>
      <x:c r="F16" s="10">
        <x:v>1.0</x:v>
      </x:c>
      <x:c r="G16" s="10">
        <x:v>1.0</x:v>
      </x:c>
      <x:c r="H16" s="11">
        <x:v>0.9</x:v>
      </x:c>
      <x:c r="I16" s="11">
        <x:v>0.9</x:v>
      </x:c>
      <x:c r="J16" s="11">
        <x:v>0.3</x:v>
      </x:c>
      <x:c r="K16" s="11">
        <x:v>1.0</x:v>
      </x:c>
      <x:c r="L16" s="10">
        <x:v>0.0</x:v>
      </x:c>
      <x:c r="M16" s="10">
        <x:v>0.0</x:v>
      </x:c>
      <x:c r="N16" s="13" t="n">
        <x:f>D16*'SDLC Weight'!$B$5+E16*'SDLC Weight'!$B$6+F16*'SDLC Weight'!$B$7+G16*'SDLC Weight'!$B$8+H16*'SDLC Weight'!$B$9+I16*'SDLC Weight'!$B$10+J16*'SDLC Weight'!$B$11+K16*'SDLC Weight'!$B$12+L16*'SDLC Weight'!$B$13+M16*'SDLC Weight'!$B$14</x:f>
        <x:v>0.895</x:v>
      </x:c>
      <x:c r="O16" s="15" t="s">
        <x:v>78</x:v>
      </x:c>
      <x:c r="P16" s="14"/>
    </x:row>
    <x:row r="17">
      <x:c r="A17" s="6" t="s">
        <x:v>14</x:v>
      </x:c>
      <x:c r="B17" s="7" t="s">
        <x:v>90</x:v>
      </x:c>
      <x:c r="C17" s="8" t="s">
        <x:v>16</x:v>
      </x:c>
      <x:c r="D17" s="10">
        <x:v>1.0</x:v>
      </x:c>
      <x:c r="E17" s="10">
        <x:v>1.0</x:v>
      </x:c>
      <x:c r="F17" s="10">
        <x:v>1.0</x:v>
      </x:c>
      <x:c r="G17" s="10">
        <x:v>1.0</x:v>
      </x:c>
      <x:c r="H17" s="11">
        <x:v>0.9</x:v>
      </x:c>
      <x:c r="I17" s="11">
        <x:v>0.7</x:v>
      </x:c>
      <x:c r="J17" s="11">
        <x:v>0.3</x:v>
      </x:c>
      <x:c r="K17" s="11">
        <x:v>1.0</x:v>
      </x:c>
      <x:c r="L17" s="10">
        <x:v>0.0</x:v>
      </x:c>
      <x:c r="M17" s="10">
        <x:v>0.0</x:v>
      </x:c>
      <x:c r="N17" s="13" t="n">
        <x:f>D17*'SDLC Weight'!$B$5+E17*'SDLC Weight'!$B$6+F17*'SDLC Weight'!$B$7+G17*'SDLC Weight'!$B$8+H17*'SDLC Weight'!$B$9+I17*'SDLC Weight'!$B$10+J17*'SDLC Weight'!$B$11+K17*'SDLC Weight'!$B$12+L17*'SDLC Weight'!$B$13+M17*'SDLC Weight'!$B$14</x:f>
        <x:v>0.875</x:v>
      </x:c>
      <x:c r="O17" s="15" t="s">
        <x:v>78</x:v>
      </x:c>
      <x:c r="P17" s="14"/>
    </x:row>
    <x:row r="18">
      <x:c r="A18" s="6" t="s">
        <x:v>14</x:v>
      </x:c>
      <x:c r="B18" s="7" t="s">
        <x:v>91</x:v>
      </x:c>
      <x:c r="C18" s="8" t="s">
        <x:v>16</x:v>
      </x:c>
      <x:c r="D18" s="10">
        <x:v>1.0</x:v>
      </x:c>
      <x:c r="E18" s="11">
        <x:v>1.0</x:v>
      </x:c>
      <x:c r="F18" s="11">
        <x:v>0.8</x:v>
      </x:c>
      <x:c r="G18" s="11">
        <x:v>0.7</x:v>
      </x:c>
      <x:c r="H18" s="11">
        <x:v>0.7</x:v>
      </x:c>
      <x:c r="I18" s="11">
        <x:v>0.2</x:v>
      </x:c>
      <x:c r="J18" s="10">
        <x:v>0.0</x:v>
      </x:c>
      <x:c r="K18" s="11">
        <x:v>1.0</x:v>
      </x:c>
      <x:c r="L18" s="10">
        <x:v>0.0</x:v>
      </x:c>
      <x:c r="M18" s="10">
        <x:v>0.0</x:v>
      </x:c>
      <x:c r="N18" s="13" t="n">
        <x:f>D18*'SDLC Weight'!$B$5+E18*'SDLC Weight'!$B$6+F18*'SDLC Weight'!$B$7+G18*'SDLC Weight'!$B$8+H18*'SDLC Weight'!$B$9+I18*'SDLC Weight'!$B$10+J18*'SDLC Weight'!$B$11+K18*'SDLC Weight'!$B$12+L18*'SDLC Weight'!$B$13+M18*'SDLC Weight'!$B$14</x:f>
        <x:v>0.65</x:v>
      </x:c>
      <x:c r="O18" s="15" t="s">
        <x:v>78</x:v>
      </x:c>
      <x:c r="P18" s="14"/>
    </x:row>
    <x:row r="19">
      <x:c r="A19" s="6" t="s">
        <x:v>14</x:v>
      </x:c>
      <x:c r="B19" s="7" t="s">
        <x:v>92</x:v>
      </x:c>
      <x:c r="C19" s="8" t="s">
        <x:v>16</x:v>
      </x:c>
      <x:c r="D19" s="10">
        <x:v>1.0</x:v>
      </x:c>
      <x:c r="E19" s="11">
        <x:v>1.0</x:v>
      </x:c>
      <x:c r="F19" s="11">
        <x:v>1.0</x:v>
      </x:c>
      <x:c r="G19" s="11">
        <x:v>0.7</x:v>
      </x:c>
      <x:c r="H19" s="10">
        <x:v>0.0</x:v>
      </x:c>
      <x:c r="I19" s="11">
        <x:v>0.2</x:v>
      </x:c>
      <x:c r="J19" s="10">
        <x:v>0.0</x:v>
      </x:c>
      <x:c r="K19" s="10">
        <x:v>0.0</x:v>
      </x:c>
      <x:c r="L19" s="10">
        <x:v>0.0</x:v>
      </x:c>
      <x:c r="M19" s="10">
        <x:v>0.0</x:v>
      </x:c>
      <x:c r="N19" s="13" t="n">
        <x:f>D19*'SDLC Weight'!$B$5+E19*'SDLC Weight'!$B$6+F19*'SDLC Weight'!$B$7+G19*'SDLC Weight'!$B$8+H19*'SDLC Weight'!$B$9+I19*'SDLC Weight'!$B$10+J19*'SDLC Weight'!$B$11+K19*'SDLC Weight'!$B$12+L19*'SDLC Weight'!$B$13+M19*'SDLC Weight'!$B$14</x:f>
        <x:v>0.55</x:v>
      </x:c>
      <x:c r="O19" s="15" t="s">
        <x:v>78</x:v>
      </x:c>
      <x:c r="P19" s="14"/>
    </x:row>
    <x:row r="20">
      <x:c r="A20" s="6" t="s">
        <x:v>14</x:v>
      </x:c>
      <x:c r="B20" s="7" t="s">
        <x:v>93</x:v>
      </x:c>
      <x:c r="C20" s="8" t="s">
        <x:v>16</x:v>
      </x:c>
      <x:c r="D20" s="10">
        <x:v>1.0</x:v>
      </x:c>
      <x:c r="E20" s="11">
        <x:v>1.0</x:v>
      </x:c>
      <x:c r="F20" s="11">
        <x:v>1.0</x:v>
      </x:c>
      <x:c r="G20" s="11">
        <x:v>0.8</x:v>
      </x:c>
      <x:c r="H20" s="10">
        <x:v>0.0</x:v>
      </x:c>
      <x:c r="I20" s="11">
        <x:v>0.2</x:v>
      </x:c>
      <x:c r="J20" s="10">
        <x:v>0.0</x:v>
      </x:c>
      <x:c r="K20" s="10">
        <x:v>0.0</x:v>
      </x:c>
      <x:c r="L20" s="10">
        <x:v>0.0</x:v>
      </x:c>
      <x:c r="M20" s="10">
        <x:v>0.0</x:v>
      </x:c>
      <x:c r="N20" s="13" t="n">
        <x:f>D20*'SDLC Weight'!$B$5+E20*'SDLC Weight'!$B$6+F20*'SDLC Weight'!$B$7+G20*'SDLC Weight'!$B$8+H20*'SDLC Weight'!$B$9+I20*'SDLC Weight'!$B$10+J20*'SDLC Weight'!$B$11+K20*'SDLC Weight'!$B$12+L20*'SDLC Weight'!$B$13+M20*'SDLC Weight'!$B$14</x:f>
        <x:v>0.5900000000000001</x:v>
      </x:c>
      <x:c r="O20" s="15" t="s">
        <x:v>78</x:v>
      </x:c>
      <x:c r="P20" s="14"/>
    </x:row>
    <x:row r="21">
      <x:c r="A21" s="6" t="s">
        <x:v>14</x:v>
      </x:c>
      <x:c r="B21" s="7" t="s">
        <x:v>94</x:v>
      </x:c>
      <x:c r="C21" s="8" t="s">
        <x:v>16</x:v>
      </x:c>
      <x:c r="D21" s="10">
        <x:v>1.0</x:v>
      </x:c>
      <x:c r="E21" s="11">
        <x:v>1.0</x:v>
      </x:c>
      <x:c r="F21" s="11">
        <x:v>1.0</x:v>
      </x:c>
      <x:c r="G21" s="11">
        <x:v>0.8</x:v>
      </x:c>
      <x:c r="H21" s="10">
        <x:v>0.0</x:v>
      </x:c>
      <x:c r="I21" s="11">
        <x:v>0.2</x:v>
      </x:c>
      <x:c r="J21" s="10">
        <x:v>0.0</x:v>
      </x:c>
      <x:c r="K21" s="10">
        <x:v>0.0</x:v>
      </x:c>
      <x:c r="L21" s="10">
        <x:v>0.0</x:v>
      </x:c>
      <x:c r="M21" s="10">
        <x:v>0.0</x:v>
      </x:c>
      <x:c r="N21" s="13" t="n">
        <x:f>D21*'SDLC Weight'!$B$5+E21*'SDLC Weight'!$B$6+F21*'SDLC Weight'!$B$7+G21*'SDLC Weight'!$B$8+H21*'SDLC Weight'!$B$9+I21*'SDLC Weight'!$B$10+J21*'SDLC Weight'!$B$11+K21*'SDLC Weight'!$B$12+L21*'SDLC Weight'!$B$13+M21*'SDLC Weight'!$B$14</x:f>
        <x:v>0.5900000000000001</x:v>
      </x:c>
      <x:c r="O21" s="15" t="s">
        <x:v>78</x:v>
      </x:c>
      <x:c r="P21" s="14"/>
    </x:row>
    <x:row r="22">
      <x:c r="A22" s="6" t="s">
        <x:v>14</x:v>
      </x:c>
      <x:c r="B22" s="7" t="s">
        <x:v>95</x:v>
      </x:c>
      <x:c r="C22" s="8" t="s">
        <x:v>16</x:v>
      </x:c>
      <x:c r="D22" s="10">
        <x:v>1.0</x:v>
      </x:c>
      <x:c r="E22" s="10">
        <x:v>0.5</x:v>
      </x:c>
      <x:c r="F22" s="11">
        <x:v>1.0</x:v>
      </x:c>
      <x:c r="G22" s="11">
        <x:v>0.8</x:v>
      </x:c>
      <x:c r="H22" s="10">
        <x:v>0.0</x:v>
      </x:c>
      <x:c r="I22" s="11">
        <x:v>0.2</x:v>
      </x:c>
      <x:c r="J22" s="10">
        <x:v>0.0</x:v>
      </x:c>
      <x:c r="K22" s="10">
        <x:v>0.0</x:v>
      </x:c>
      <x:c r="L22" s="10">
        <x:v>0.0</x:v>
      </x:c>
      <x:c r="M22" s="10">
        <x:v>0.0</x:v>
      </x:c>
      <x:c r="N22" s="13" t="n">
        <x:f>D22*'SDLC Weight'!$B$5+E22*'SDLC Weight'!$B$6+F22*'SDLC Weight'!$B$7+G22*'SDLC Weight'!$B$8+H22*'SDLC Weight'!$B$9+I22*'SDLC Weight'!$B$10+J22*'SDLC Weight'!$B$11+K22*'SDLC Weight'!$B$12+L22*'SDLC Weight'!$B$13+M22*'SDLC Weight'!$B$14</x:f>
        <x:v>0.54</x:v>
      </x:c>
      <x:c r="O22" s="15" t="s">
        <x:v>78</x:v>
      </x:c>
      <x:c r="P22" s="14"/>
    </x:row>
    <x:row r="23">
      <x:c r="A23" s="6" t="s">
        <x:v>14</x:v>
      </x:c>
      <x:c r="B23" s="7" t="s">
        <x:v>96</x:v>
      </x:c>
      <x:c r="C23" s="8" t="s">
        <x:v>16</x:v>
      </x:c>
      <x:c r="D23" s="10">
        <x:v>1.0</x:v>
      </x:c>
      <x:c r="E23" s="11">
        <x:v>1.0</x:v>
      </x:c>
      <x:c r="F23" s="11">
        <x:v>1.0</x:v>
      </x:c>
      <x:c r="G23" s="11">
        <x:v>0.7</x:v>
      </x:c>
      <x:c r="H23" s="11">
        <x:v>0.7</x:v>
      </x:c>
      <x:c r="I23" s="11">
        <x:v>0.4</x:v>
      </x:c>
      <x:c r="J23" s="10">
        <x:v>0.0</x:v>
      </x:c>
      <x:c r="K23" s="10">
        <x:v>0.0</x:v>
      </x:c>
      <x:c r="L23" s="10">
        <x:v>0.0</x:v>
      </x:c>
      <x:c r="M23" s="10">
        <x:v>0.0</x:v>
      </x:c>
      <x:c r="N23" s="13" t="n">
        <x:f>D23*'SDLC Weight'!$B$5+E23*'SDLC Weight'!$B$6+F23*'SDLC Weight'!$B$7+G23*'SDLC Weight'!$B$8+H23*'SDLC Weight'!$B$9+I23*'SDLC Weight'!$B$10+J23*'SDLC Weight'!$B$11+K23*'SDLC Weight'!$B$12+L23*'SDLC Weight'!$B$13+M23*'SDLC Weight'!$B$14</x:f>
        <x:v>0.64</x:v>
      </x:c>
      <x:c r="O23" s="15" t="s">
        <x:v>78</x:v>
      </x:c>
      <x:c r="P23" s="14"/>
    </x:row>
    <x:row r="24">
      <x:c r="A24" s="6" t="s">
        <x:v>14</x:v>
      </x:c>
      <x:c r="B24" s="7" t="s">
        <x:v>97</x:v>
      </x:c>
      <x:c r="C24" s="8" t="s">
        <x:v>16</x:v>
      </x:c>
      <x:c r="D24" s="10">
        <x:v>1.0</x:v>
      </x:c>
      <x:c r="E24" s="10">
        <x:v>0.5</x:v>
      </x:c>
      <x:c r="F24" s="11">
        <x:v>1.0</x:v>
      </x:c>
      <x:c r="G24" s="11">
        <x:v>0.7</x:v>
      </x:c>
      <x:c r="H24" s="10">
        <x:v>0.0</x:v>
      </x:c>
      <x:c r="I24" s="11">
        <x:v>0.2</x:v>
      </x:c>
      <x:c r="J24" s="10">
        <x:v>0.0</x:v>
      </x:c>
      <x:c r="K24" s="10">
        <x:v>0.0</x:v>
      </x:c>
      <x:c r="L24" s="10">
        <x:v>0.0</x:v>
      </x:c>
      <x:c r="M24" s="10">
        <x:v>0.0</x:v>
      </x:c>
      <x:c r="N24" s="13" t="n">
        <x:f>D24*'SDLC Weight'!$B$5+E24*'SDLC Weight'!$B$6+F24*'SDLC Weight'!$B$7+G24*'SDLC Weight'!$B$8+H24*'SDLC Weight'!$B$9+I24*'SDLC Weight'!$B$10+J24*'SDLC Weight'!$B$11+K24*'SDLC Weight'!$B$12+L24*'SDLC Weight'!$B$13+M24*'SDLC Weight'!$B$14</x:f>
        <x:v>0.5</x:v>
      </x:c>
      <x:c r="O24" s="15" t="s">
        <x:v>78</x:v>
      </x:c>
      <x:c r="P24" s="14"/>
    </x:row>
    <x:row r="25">
      <x:c r="A25" s="6" t="s">
        <x:v>18</x:v>
      </x:c>
      <x:c r="B25" s="7" t="s">
        <x:v>98</x:v>
      </x:c>
      <x:c r="C25" s="8" t="s">
        <x:v>16</x:v>
      </x:c>
      <x:c r="D25" s="10">
        <x:v>1.0</x:v>
      </x:c>
      <x:c r="E25" s="11">
        <x:v>1.0</x:v>
      </x:c>
      <x:c r="F25" s="11">
        <x:v>1.0</x:v>
      </x:c>
      <x:c r="G25" s="11">
        <x:v>1.0</x:v>
      </x:c>
      <x:c r="H25" s="11">
        <x:v>0.8</x:v>
      </x:c>
      <x:c r="I25" s="11">
        <x:v>0.6</x:v>
      </x:c>
      <x:c r="J25" s="10">
        <x:v>0.0</x:v>
      </x:c>
      <x:c r="K25" s="10">
        <x:v>0.0</x:v>
      </x:c>
      <x:c r="L25" s="10">
        <x:v>0.0</x:v>
      </x:c>
      <x:c r="M25" s="10">
        <x:v>0.0</x:v>
      </x:c>
      <x:c r="N25" s="13" t="n">
        <x:f>D25*'SDLC Weight'!$B$5+E25*'SDLC Weight'!$B$6+F25*'SDLC Weight'!$B$7+G25*'SDLC Weight'!$B$8+H25*'SDLC Weight'!$B$9+I25*'SDLC Weight'!$B$10+J25*'SDLC Weight'!$B$11+K25*'SDLC Weight'!$B$12+L25*'SDLC Weight'!$B$13+M25*'SDLC Weight'!$B$14</x:f>
        <x:v>0.79</x:v>
      </x:c>
      <x:c r="O25" s="15" t="s">
        <x:v>78</x:v>
      </x:c>
      <x:c r="P25" s="14"/>
    </x:row>
    <x:row r="26">
      <x:c r="A26" s="6" t="s">
        <x:v>18</x:v>
      </x:c>
      <x:c r="B26" s="7" t="s">
        <x:v>99</x:v>
      </x:c>
      <x:c r="C26" s="8" t="s">
        <x:v>16</x:v>
      </x:c>
      <x:c r="D26" s="10">
        <x:v>1.0</x:v>
      </x:c>
      <x:c r="E26" s="11">
        <x:v>1.0</x:v>
      </x:c>
      <x:c r="F26" s="11">
        <x:v>1.0</x:v>
      </x:c>
      <x:c r="G26" s="11">
        <x:v>1.0</x:v>
      </x:c>
      <x:c r="H26" s="11">
        <x:v>0.8</x:v>
      </x:c>
      <x:c r="I26" s="11">
        <x:v>0.6</x:v>
      </x:c>
      <x:c r="J26" s="10">
        <x:v>0.0</x:v>
      </x:c>
      <x:c r="K26" s="10">
        <x:v>0.0</x:v>
      </x:c>
      <x:c r="L26" s="10">
        <x:v>0.0</x:v>
      </x:c>
      <x:c r="M26" s="10">
        <x:v>0.0</x:v>
      </x:c>
      <x:c r="N26" s="13" t="n">
        <x:f>D26*'SDLC Weight'!$B$5+E26*'SDLC Weight'!$B$6+F26*'SDLC Weight'!$B$7+G26*'SDLC Weight'!$B$8+H26*'SDLC Weight'!$B$9+I26*'SDLC Weight'!$B$10+J26*'SDLC Weight'!$B$11+K26*'SDLC Weight'!$B$12+L26*'SDLC Weight'!$B$13+M26*'SDLC Weight'!$B$14</x:f>
        <x:v>0.79</x:v>
      </x:c>
      <x:c r="O26" s="15" t="s">
        <x:v>78</x:v>
      </x:c>
      <x:c r="P26" s="14"/>
    </x:row>
    <x:row r="27">
      <x:c r="A27" s="6" t="s">
        <x:v>18</x:v>
      </x:c>
      <x:c r="B27" s="7" t="s">
        <x:v>100</x:v>
      </x:c>
      <x:c r="C27" s="8" t="s">
        <x:v>16</x:v>
      </x:c>
      <x:c r="D27" s="10">
        <x:v>1.0</x:v>
      </x:c>
      <x:c r="E27" s="11">
        <x:v>1.0</x:v>
      </x:c>
      <x:c r="F27" s="11">
        <x:v>1.0</x:v>
      </x:c>
      <x:c r="G27" s="11">
        <x:v>1.0</x:v>
      </x:c>
      <x:c r="H27" s="11">
        <x:v>0.8</x:v>
      </x:c>
      <x:c r="I27" s="11">
        <x:v>0.6</x:v>
      </x:c>
      <x:c r="J27" s="10">
        <x:v>0.0</x:v>
      </x:c>
      <x:c r="K27" s="10">
        <x:v>0.0</x:v>
      </x:c>
      <x:c r="L27" s="10">
        <x:v>0.0</x:v>
      </x:c>
      <x:c r="M27" s="10">
        <x:v>0.0</x:v>
      </x:c>
      <x:c r="N27" s="13" t="n">
        <x:f>D27*'SDLC Weight'!$B$5+E27*'SDLC Weight'!$B$6+F27*'SDLC Weight'!$B$7+G27*'SDLC Weight'!$B$8+H27*'SDLC Weight'!$B$9+I27*'SDLC Weight'!$B$10+J27*'SDLC Weight'!$B$11+K27*'SDLC Weight'!$B$12+L27*'SDLC Weight'!$B$13+M27*'SDLC Weight'!$B$14</x:f>
        <x:v>0.79</x:v>
      </x:c>
      <x:c r="O27" s="15" t="s">
        <x:v>78</x:v>
      </x:c>
      <x:c r="P27" s="14"/>
    </x:row>
    <x:row r="28">
      <x:c r="A28" s="6" t="s">
        <x:v>18</x:v>
      </x:c>
      <x:c r="B28" s="7" t="s">
        <x:v>101</x:v>
      </x:c>
      <x:c r="C28" s="8" t="s">
        <x:v>16</x:v>
      </x:c>
      <x:c r="D28" s="10">
        <x:v>1.0</x:v>
      </x:c>
      <x:c r="E28" s="11">
        <x:v>1.0</x:v>
      </x:c>
      <x:c r="F28" s="11">
        <x:v>1.0</x:v>
      </x:c>
      <x:c r="G28" s="11">
        <x:v>1.0</x:v>
      </x:c>
      <x:c r="H28" s="11">
        <x:v>0.8</x:v>
      </x:c>
      <x:c r="I28" s="11">
        <x:v>0.6</x:v>
      </x:c>
      <x:c r="J28" s="10">
        <x:v>0.0</x:v>
      </x:c>
      <x:c r="K28" s="10">
        <x:v>0.0</x:v>
      </x:c>
      <x:c r="L28" s="10">
        <x:v>0.0</x:v>
      </x:c>
      <x:c r="M28" s="10">
        <x:v>0.0</x:v>
      </x:c>
      <x:c r="N28" s="13" t="n">
        <x:f>D28*'SDLC Weight'!$B$5+E28*'SDLC Weight'!$B$6+F28*'SDLC Weight'!$B$7+G28*'SDLC Weight'!$B$8+H28*'SDLC Weight'!$B$9+I28*'SDLC Weight'!$B$10+J28*'SDLC Weight'!$B$11+K28*'SDLC Weight'!$B$12+L28*'SDLC Weight'!$B$13+M28*'SDLC Weight'!$B$14</x:f>
        <x:v>0.79</x:v>
      </x:c>
      <x:c r="O28" s="15" t="s">
        <x:v>78</x:v>
      </x:c>
      <x:c r="P28" s="14"/>
    </x:row>
    <x:row r="29">
      <x:c r="A29" s="6" t="s">
        <x:v>18</x:v>
      </x:c>
      <x:c r="B29" s="7" t="s">
        <x:v>102</x:v>
      </x:c>
      <x:c r="C29" s="8" t="s">
        <x:v>16</x:v>
      </x:c>
      <x:c r="D29" s="10">
        <x:v>1.0</x:v>
      </x:c>
      <x:c r="E29" s="11">
        <x:v>1.0</x:v>
      </x:c>
      <x:c r="F29" s="11">
        <x:v>1.0</x:v>
      </x:c>
      <x:c r="G29" s="11">
        <x:v>1.0</x:v>
      </x:c>
      <x:c r="H29" s="11">
        <x:v>0.8</x:v>
      </x:c>
      <x:c r="I29" s="11">
        <x:v>0.6</x:v>
      </x:c>
      <x:c r="J29" s="10">
        <x:v>0.0</x:v>
      </x:c>
      <x:c r="K29" s="10">
        <x:v>0.0</x:v>
      </x:c>
      <x:c r="L29" s="10">
        <x:v>0.0</x:v>
      </x:c>
      <x:c r="M29" s="10">
        <x:v>0.0</x:v>
      </x:c>
      <x:c r="N29" s="13" t="n">
        <x:f>D29*'SDLC Weight'!$B$5+E29*'SDLC Weight'!$B$6+F29*'SDLC Weight'!$B$7+G29*'SDLC Weight'!$B$8+H29*'SDLC Weight'!$B$9+I29*'SDLC Weight'!$B$10+J29*'SDLC Weight'!$B$11+K29*'SDLC Weight'!$B$12+L29*'SDLC Weight'!$B$13+M29*'SDLC Weight'!$B$14</x:f>
        <x:v>0.79</x:v>
      </x:c>
      <x:c r="O29" s="15" t="s">
        <x:v>78</x:v>
      </x:c>
      <x:c r="P29" s="14"/>
    </x:row>
    <x:row r="30">
      <x:c r="A30" s="6" t="s">
        <x:v>18</x:v>
      </x:c>
      <x:c r="B30" s="7" t="s">
        <x:v>103</x:v>
      </x:c>
      <x:c r="C30" s="8" t="s">
        <x:v>16</x:v>
      </x:c>
      <x:c r="D30" s="10">
        <x:v>1.0</x:v>
      </x:c>
      <x:c r="E30" s="11">
        <x:v>1.0</x:v>
      </x:c>
      <x:c r="F30" s="11">
        <x:v>1.0</x:v>
      </x:c>
      <x:c r="G30" s="11">
        <x:v>1.0</x:v>
      </x:c>
      <x:c r="H30" s="11">
        <x:v>0.8</x:v>
      </x:c>
      <x:c r="I30" s="11">
        <x:v>0.6</x:v>
      </x:c>
      <x:c r="J30" s="10">
        <x:v>0.0</x:v>
      </x:c>
      <x:c r="K30" s="10">
        <x:v>0.0</x:v>
      </x:c>
      <x:c r="L30" s="10">
        <x:v>0.0</x:v>
      </x:c>
      <x:c r="M30" s="10">
        <x:v>0.0</x:v>
      </x:c>
      <x:c r="N30" s="13" t="n">
        <x:f>D30*'SDLC Weight'!$B$5+E30*'SDLC Weight'!$B$6+F30*'SDLC Weight'!$B$7+G30*'SDLC Weight'!$B$8+H30*'SDLC Weight'!$B$9+I30*'SDLC Weight'!$B$10+J30*'SDLC Weight'!$B$11+K30*'SDLC Weight'!$B$12+L30*'SDLC Weight'!$B$13+M30*'SDLC Weight'!$B$14</x:f>
        <x:v>0.79</x:v>
      </x:c>
      <x:c r="O30" s="15" t="s">
        <x:v>78</x:v>
      </x:c>
      <x:c r="P30" s="14"/>
    </x:row>
    <x:row r="31">
      <x:c r="A31" s="6" t="s">
        <x:v>17</x:v>
      </x:c>
      <x:c r="B31" s="7" t="s">
        <x:v>104</x:v>
      </x:c>
      <x:c r="C31" s="8" t="s">
        <x:v>16</x:v>
      </x:c>
      <x:c r="D31" s="10">
        <x:v>1.0</x:v>
      </x:c>
      <x:c r="E31" s="11">
        <x:v>1.0</x:v>
      </x:c>
      <x:c r="F31" s="11">
        <x:v>0.9</x:v>
      </x:c>
      <x:c r="G31" s="11">
        <x:v>0.9</x:v>
      </x:c>
      <x:c r="H31" s="11">
        <x:v>0.8</x:v>
      </x:c>
      <x:c r="I31" s="11">
        <x:v>0.6</x:v>
      </x:c>
      <x:c r="J31" s="10">
        <x:v>0.0</x:v>
      </x:c>
      <x:c r="K31" s="10">
        <x:v>0.0</x:v>
      </x:c>
      <x:c r="L31" s="10">
        <x:v>0.0</x:v>
      </x:c>
      <x:c r="M31" s="10">
        <x:v>0.0</x:v>
      </x:c>
      <x:c r="N31" s="13" t="n">
        <x:f>D31*'SDLC Weight'!$B$5+E31*'SDLC Weight'!$B$6+F31*'SDLC Weight'!$B$7+G31*'SDLC Weight'!$B$8+H31*'SDLC Weight'!$B$9+I31*'SDLC Weight'!$B$10+J31*'SDLC Weight'!$B$11+K31*'SDLC Weight'!$B$12+L31*'SDLC Weight'!$B$13+M31*'SDLC Weight'!$B$14</x:f>
        <x:v>0.7400000000000002</x:v>
      </x:c>
      <x:c r="O31" s="15" t="s">
        <x:v>78</x:v>
      </x:c>
      <x:c r="P31" s="14"/>
    </x:row>
    <x:row r="32">
      <x:c r="A32" s="6" t="s">
        <x:v>17</x:v>
      </x:c>
      <x:c r="B32" s="7" t="s">
        <x:v>105</x:v>
      </x:c>
      <x:c r="C32" s="8" t="s">
        <x:v>16</x:v>
      </x:c>
      <x:c r="D32" s="10">
        <x:v>1.0</x:v>
      </x:c>
      <x:c r="E32" s="11">
        <x:v>1.0</x:v>
      </x:c>
      <x:c r="F32" s="11">
        <x:v>0.9</x:v>
      </x:c>
      <x:c r="G32" s="11">
        <x:v>0.9</x:v>
      </x:c>
      <x:c r="H32" s="11">
        <x:v>0.6</x:v>
      </x:c>
      <x:c r="I32" s="11">
        <x:v>0.6</x:v>
      </x:c>
      <x:c r="J32" s="10">
        <x:v>0.0</x:v>
      </x:c>
      <x:c r="K32" s="10">
        <x:v>0.0</x:v>
      </x:c>
      <x:c r="L32" s="10">
        <x:v>0.0</x:v>
      </x:c>
      <x:c r="M32" s="10">
        <x:v>0.0</x:v>
      </x:c>
      <x:c r="N32" s="13" t="n">
        <x:f>D32*'SDLC Weight'!$B$5+E32*'SDLC Weight'!$B$6+F32*'SDLC Weight'!$B$7+G32*'SDLC Weight'!$B$8+H32*'SDLC Weight'!$B$9+I32*'SDLC Weight'!$B$10+J32*'SDLC Weight'!$B$11+K32*'SDLC Weight'!$B$12+L32*'SDLC Weight'!$B$13+M32*'SDLC Weight'!$B$14</x:f>
        <x:v>0.7200000000000002</x:v>
      </x:c>
      <x:c r="O32" s="15" t="s">
        <x:v>78</x:v>
      </x:c>
      <x:c r="P32" s="14"/>
    </x:row>
    <x:row r="33">
      <x:c r="A33" s="6" t="s">
        <x:v>17</x:v>
      </x:c>
      <x:c r="B33" s="7" t="s">
        <x:v>106</x:v>
      </x:c>
      <x:c r="C33" s="8" t="s">
        <x:v>16</x:v>
      </x:c>
      <x:c r="D33" s="10">
        <x:v>1.0</x:v>
      </x:c>
      <x:c r="E33" s="11">
        <x:v>1.0</x:v>
      </x:c>
      <x:c r="F33" s="11">
        <x:v>0.9</x:v>
      </x:c>
      <x:c r="G33" s="11">
        <x:v>0.9</x:v>
      </x:c>
      <x:c r="H33" s="11">
        <x:v>0.6</x:v>
      </x:c>
      <x:c r="I33" s="11">
        <x:v>0.6</x:v>
      </x:c>
      <x:c r="J33" s="10">
        <x:v>0.0</x:v>
      </x:c>
      <x:c r="K33" s="10">
        <x:v>0.0</x:v>
      </x:c>
      <x:c r="L33" s="10">
        <x:v>0.0</x:v>
      </x:c>
      <x:c r="M33" s="10">
        <x:v>0.0</x:v>
      </x:c>
      <x:c r="N33" s="13" t="n">
        <x:f>D33*'SDLC Weight'!$B$5+E33*'SDLC Weight'!$B$6+F33*'SDLC Weight'!$B$7+G33*'SDLC Weight'!$B$8+H33*'SDLC Weight'!$B$9+I33*'SDLC Weight'!$B$10+J33*'SDLC Weight'!$B$11+K33*'SDLC Weight'!$B$12+L33*'SDLC Weight'!$B$13+M33*'SDLC Weight'!$B$14</x:f>
        <x:v>0.7200000000000002</x:v>
      </x:c>
      <x:c r="O33" s="15" t="s">
        <x:v>78</x:v>
      </x:c>
      <x:c r="P33" s="14"/>
    </x:row>
    <x:row r="34">
      <x:c r="A34" s="6" t="s">
        <x:v>17</x:v>
      </x:c>
      <x:c r="B34" s="7" t="s">
        <x:v>107</x:v>
      </x:c>
      <x:c r="C34" s="8" t="s">
        <x:v>16</x:v>
      </x:c>
      <x:c r="D34" s="10">
        <x:v>1.0</x:v>
      </x:c>
      <x:c r="E34" s="11">
        <x:v>1.0</x:v>
      </x:c>
      <x:c r="F34" s="11">
        <x:v>0.9</x:v>
      </x:c>
      <x:c r="G34" s="11">
        <x:v>0.9</x:v>
      </x:c>
      <x:c r="H34" s="11">
        <x:v>0.6</x:v>
      </x:c>
      <x:c r="I34" s="11">
        <x:v>0.6</x:v>
      </x:c>
      <x:c r="J34" s="10">
        <x:v>0.0</x:v>
      </x:c>
      <x:c r="K34" s="10">
        <x:v>0.0</x:v>
      </x:c>
      <x:c r="L34" s="10">
        <x:v>0.0</x:v>
      </x:c>
      <x:c r="M34" s="10">
        <x:v>0.0</x:v>
      </x:c>
      <x:c r="N34" s="13" t="n">
        <x:f>D34*'SDLC Weight'!$B$5+E34*'SDLC Weight'!$B$6+F34*'SDLC Weight'!$B$7+G34*'SDLC Weight'!$B$8+H34*'SDLC Weight'!$B$9+I34*'SDLC Weight'!$B$10+J34*'SDLC Weight'!$B$11+K34*'SDLC Weight'!$B$12+L34*'SDLC Weight'!$B$13+M34*'SDLC Weight'!$B$14</x:f>
        <x:v>0.7200000000000002</x:v>
      </x:c>
      <x:c r="O34" s="15" t="s">
        <x:v>78</x:v>
      </x:c>
      <x:c r="P34" s="14"/>
    </x:row>
    <x:row r="35">
      <x:c r="A35" s="6" t="s">
        <x:v>17</x:v>
      </x:c>
      <x:c r="B35" s="7" t="s">
        <x:v>108</x:v>
      </x:c>
      <x:c r="C35" s="8" t="s">
        <x:v>16</x:v>
      </x:c>
      <x:c r="D35" s="10">
        <x:v>1.0</x:v>
      </x:c>
      <x:c r="E35" s="11">
        <x:v>1.0</x:v>
      </x:c>
      <x:c r="F35" s="11">
        <x:v>0.9</x:v>
      </x:c>
      <x:c r="G35" s="11">
        <x:v>0.9</x:v>
      </x:c>
      <x:c r="H35" s="11">
        <x:v>0.6</x:v>
      </x:c>
      <x:c r="I35" s="11">
        <x:v>0.6</x:v>
      </x:c>
      <x:c r="J35" s="10">
        <x:v>0.0</x:v>
      </x:c>
      <x:c r="K35" s="10">
        <x:v>0.0</x:v>
      </x:c>
      <x:c r="L35" s="10">
        <x:v>0.0</x:v>
      </x:c>
      <x:c r="M35" s="10">
        <x:v>0.0</x:v>
      </x:c>
      <x:c r="N35" s="13" t="n">
        <x:f>D35*'SDLC Weight'!$B$5+E35*'SDLC Weight'!$B$6+F35*'SDLC Weight'!$B$7+G35*'SDLC Weight'!$B$8+H35*'SDLC Weight'!$B$9+I35*'SDLC Weight'!$B$10+J35*'SDLC Weight'!$B$11+K35*'SDLC Weight'!$B$12+L35*'SDLC Weight'!$B$13+M35*'SDLC Weight'!$B$14</x:f>
        <x:v>0.7200000000000002</x:v>
      </x:c>
      <x:c r="O35" s="15" t="s">
        <x:v>78</x:v>
      </x:c>
      <x:c r="P35" s="14"/>
    </x:row>
    <x:row r="36">
      <x:c r="A36" s="6" t="s">
        <x:v>17</x:v>
      </x:c>
      <x:c r="B36" s="7" t="s">
        <x:v>109</x:v>
      </x:c>
      <x:c r="C36" s="8" t="s">
        <x:v>16</x:v>
      </x:c>
      <x:c r="D36" s="10">
        <x:v>1.0</x:v>
      </x:c>
      <x:c r="E36" s="11">
        <x:v>1.0</x:v>
      </x:c>
      <x:c r="F36" s="11">
        <x:v>0.9</x:v>
      </x:c>
      <x:c r="G36" s="11">
        <x:v>0.8</x:v>
      </x:c>
      <x:c r="H36" s="11">
        <x:v>0.6</x:v>
      </x:c>
      <x:c r="I36" s="11">
        <x:v>0.6</x:v>
      </x:c>
      <x:c r="J36" s="10">
        <x:v>0.0</x:v>
      </x:c>
      <x:c r="K36" s="10">
        <x:v>0.0</x:v>
      </x:c>
      <x:c r="L36" s="10">
        <x:v>0.0</x:v>
      </x:c>
      <x:c r="M36" s="10">
        <x:v>0.0</x:v>
      </x:c>
      <x:c r="N36" s="13" t="n">
        <x:f>D36*'SDLC Weight'!$B$5+E36*'SDLC Weight'!$B$6+F36*'SDLC Weight'!$B$7+G36*'SDLC Weight'!$B$8+H36*'SDLC Weight'!$B$9+I36*'SDLC Weight'!$B$10+J36*'SDLC Weight'!$B$11+K36*'SDLC Weight'!$B$12+L36*'SDLC Weight'!$B$13+M36*'SDLC Weight'!$B$14</x:f>
        <x:v>0.6800000000000002</x:v>
      </x:c>
      <x:c r="O36" s="15" t="s">
        <x:v>78</x:v>
      </x:c>
      <x:c r="P36" s="14"/>
    </x:row>
    <x:row r="37">
      <x:c r="A37" s="6" t="s">
        <x:v>17</x:v>
      </x:c>
      <x:c r="B37" s="7" t="s">
        <x:v>110</x:v>
      </x:c>
      <x:c r="C37" s="8" t="s">
        <x:v>16</x:v>
      </x:c>
      <x:c r="D37" s="10">
        <x:v>1.0</x:v>
      </x:c>
      <x:c r="E37" s="11">
        <x:v>1.0</x:v>
      </x:c>
      <x:c r="F37" s="11">
        <x:v>0.9</x:v>
      </x:c>
      <x:c r="G37" s="11">
        <x:v>0.7</x:v>
      </x:c>
      <x:c r="H37" s="11">
        <x:v>0.6</x:v>
      </x:c>
      <x:c r="I37" s="11">
        <x:v>0.6</x:v>
      </x:c>
      <x:c r="J37" s="10">
        <x:v>0.0</x:v>
      </x:c>
      <x:c r="K37" s="10">
        <x:v>0.0</x:v>
      </x:c>
      <x:c r="L37" s="10">
        <x:v>0.0</x:v>
      </x:c>
      <x:c r="M37" s="10">
        <x:v>0.0</x:v>
      </x:c>
      <x:c r="N37" s="13" t="n">
        <x:f>D37*'SDLC Weight'!$B$5+E37*'SDLC Weight'!$B$6+F37*'SDLC Weight'!$B$7+G37*'SDLC Weight'!$B$8+H37*'SDLC Weight'!$B$9+I37*'SDLC Weight'!$B$10+J37*'SDLC Weight'!$B$11+K37*'SDLC Weight'!$B$12+L37*'SDLC Weight'!$B$13+M37*'SDLC Weight'!$B$14</x:f>
        <x:v>0.6400000000000001</x:v>
      </x:c>
      <x:c r="O37" s="15" t="s">
        <x:v>78</x:v>
      </x:c>
      <x:c r="P37" s="14"/>
    </x:row>
    <x:row r="38">
      <x:c r="A38" s="6" t="s">
        <x:v>26</x:v>
      </x:c>
      <x:c r="B38" s="7" t="s">
        <x:v>111</x:v>
      </x:c>
      <x:c r="C38" s="8" t="s">
        <x:v>28</x:v>
      </x:c>
      <x:c r="D38" s="10">
        <x:v>1.0</x:v>
      </x:c>
      <x:c r="E38" s="10">
        <x:v>1.0</x:v>
      </x:c>
      <x:c r="F38" s="10">
        <x:v>1.0</x:v>
      </x:c>
      <x:c r="G38" s="10">
        <x:v>1.0</x:v>
      </x:c>
      <x:c r="H38" s="10">
        <x:v>1.0</x:v>
      </x:c>
      <x:c r="I38" s="10">
        <x:v>1.0</x:v>
      </x:c>
      <x:c r="J38" s="10">
        <x:v>1.0</x:v>
      </x:c>
      <x:c r="K38" s="10">
        <x:v>1.0</x:v>
      </x:c>
      <x:c r="L38" s="10">
        <x:v>0.0</x:v>
      </x:c>
      <x:c r="M38" s="10">
        <x:v>0.0</x:v>
      </x:c>
      <x:c r="N38" s="13" t="n">
        <x:f>D38*'SDLC Weight'!$B$5+E38*'SDLC Weight'!$B$6+F38*'SDLC Weight'!$B$7+G38*'SDLC Weight'!$B$8+H38*'SDLC Weight'!$B$9+I38*'SDLC Weight'!$B$10+J38*'SDLC Weight'!$B$11+K38*'SDLC Weight'!$B$12+L38*'SDLC Weight'!$B$13+M38*'SDLC Weight'!$B$14</x:f>
        <x:v>0.9500000000000001</x:v>
      </x:c>
      <x:c r="O38" s="15" t="s">
        <x:v>78</x:v>
      </x:c>
      <x:c r="P38" s="14"/>
    </x:row>
    <x:row r="39">
      <x:c r="A39" s="6" t="s">
        <x:v>26</x:v>
      </x:c>
      <x:c r="B39" s="7" t="s">
        <x:v>112</x:v>
      </x:c>
      <x:c r="C39" s="8" t="s">
        <x:v>28</x:v>
      </x:c>
      <x:c r="D39" s="10">
        <x:v>1.0</x:v>
      </x:c>
      <x:c r="E39" s="10">
        <x:v>1.0</x:v>
      </x:c>
      <x:c r="F39" s="10">
        <x:v>1.0</x:v>
      </x:c>
      <x:c r="G39" s="10">
        <x:v>1.0</x:v>
      </x:c>
      <x:c r="H39" s="10">
        <x:v>1.0</x:v>
      </x:c>
      <x:c r="I39" s="10">
        <x:v>1.0</x:v>
      </x:c>
      <x:c r="J39" s="10">
        <x:v>1.0</x:v>
      </x:c>
      <x:c r="K39" s="10">
        <x:v>1.0</x:v>
      </x:c>
      <x:c r="L39" s="10">
        <x:v>0.0</x:v>
      </x:c>
      <x:c r="M39" s="10">
        <x:v>0.0</x:v>
      </x:c>
      <x:c r="N39" s="13" t="n">
        <x:f>D39*'SDLC Weight'!$B$5+E39*'SDLC Weight'!$B$6+F39*'SDLC Weight'!$B$7+G39*'SDLC Weight'!$B$8+H39*'SDLC Weight'!$B$9+I39*'SDLC Weight'!$B$10+J39*'SDLC Weight'!$B$11+K39*'SDLC Weight'!$B$12+L39*'SDLC Weight'!$B$13+M39*'SDLC Weight'!$B$14</x:f>
        <x:v>0.9500000000000001</x:v>
      </x:c>
      <x:c r="O39" s="15" t="s">
        <x:v>78</x:v>
      </x:c>
      <x:c r="P39" s="14"/>
    </x:row>
    <x:row r="40">
      <x:c r="A40" s="6" t="s">
        <x:v>26</x:v>
      </x:c>
      <x:c r="B40" s="7" t="s">
        <x:v>113</x:v>
      </x:c>
      <x:c r="C40" s="8" t="s">
        <x:v>28</x:v>
      </x:c>
      <x:c r="D40" s="10">
        <x:v>1.0</x:v>
      </x:c>
      <x:c r="E40" s="10">
        <x:v>1.0</x:v>
      </x:c>
      <x:c r="F40" s="10">
        <x:v>1.0</x:v>
      </x:c>
      <x:c r="G40" s="10">
        <x:v>1.0</x:v>
      </x:c>
      <x:c r="H40" s="10">
        <x:v>1.0</x:v>
      </x:c>
      <x:c r="I40" s="10">
        <x:v>1.0</x:v>
      </x:c>
      <x:c r="J40" s="10">
        <x:v>1.0</x:v>
      </x:c>
      <x:c r="K40" s="10">
        <x:v>1.0</x:v>
      </x:c>
      <x:c r="L40" s="10">
        <x:v>0.0</x:v>
      </x:c>
      <x:c r="M40" s="10">
        <x:v>0.0</x:v>
      </x:c>
      <x:c r="N40" s="13" t="n">
        <x:f>D40*'SDLC Weight'!$B$5+E40*'SDLC Weight'!$B$6+F40*'SDLC Weight'!$B$7+G40*'SDLC Weight'!$B$8+H40*'SDLC Weight'!$B$9+I40*'SDLC Weight'!$B$10+J40*'SDLC Weight'!$B$11+K40*'SDLC Weight'!$B$12+L40*'SDLC Weight'!$B$13+M40*'SDLC Weight'!$B$14</x:f>
        <x:v>0.9500000000000001</x:v>
      </x:c>
      <x:c r="O40" s="15" t="s">
        <x:v>78</x:v>
      </x:c>
      <x:c r="P40" s="14"/>
    </x:row>
    <x:row r="41">
      <x:c r="A41" s="6" t="s">
        <x:v>26</x:v>
      </x:c>
      <x:c r="B41" s="7" t="s">
        <x:v>114</x:v>
      </x:c>
      <x:c r="C41" s="8" t="s">
        <x:v>28</x:v>
      </x:c>
      <x:c r="D41" s="10">
        <x:v>1.0</x:v>
      </x:c>
      <x:c r="E41" s="10">
        <x:v>1.0</x:v>
      </x:c>
      <x:c r="F41" s="10">
        <x:v>1.0</x:v>
      </x:c>
      <x:c r="G41" s="10">
        <x:v>1.0</x:v>
      </x:c>
      <x:c r="H41" s="10">
        <x:v>1.0</x:v>
      </x:c>
      <x:c r="I41" s="10">
        <x:v>1.0</x:v>
      </x:c>
      <x:c r="J41" s="10">
        <x:v>1.0</x:v>
      </x:c>
      <x:c r="K41" s="10">
        <x:v>1.0</x:v>
      </x:c>
      <x:c r="L41" s="10">
        <x:v>0.0</x:v>
      </x:c>
      <x:c r="M41" s="10">
        <x:v>0.0</x:v>
      </x:c>
      <x:c r="N41" s="13" t="n">
        <x:f>D41*'SDLC Weight'!$B$5+E41*'SDLC Weight'!$B$6+F41*'SDLC Weight'!$B$7+G41*'SDLC Weight'!$B$8+H41*'SDLC Weight'!$B$9+I41*'SDLC Weight'!$B$10+J41*'SDLC Weight'!$B$11+K41*'SDLC Weight'!$B$12+L41*'SDLC Weight'!$B$13+M41*'SDLC Weight'!$B$14</x:f>
        <x:v>0.9500000000000001</x:v>
      </x:c>
      <x:c r="O41" s="15" t="s">
        <x:v>78</x:v>
      </x:c>
      <x:c r="P41" s="14"/>
    </x:row>
    <x:row r="42">
      <x:c r="A42" s="6" t="s">
        <x:v>26</x:v>
      </x:c>
      <x:c r="B42" s="7" t="s">
        <x:v>115</x:v>
      </x:c>
      <x:c r="C42" s="8" t="s">
        <x:v>28</x:v>
      </x:c>
      <x:c r="D42" s="10">
        <x:v>1.0</x:v>
      </x:c>
      <x:c r="E42" s="10">
        <x:v>1.0</x:v>
      </x:c>
      <x:c r="F42" s="10">
        <x:v>1.0</x:v>
      </x:c>
      <x:c r="G42" s="10">
        <x:v>1.0</x:v>
      </x:c>
      <x:c r="H42" s="10">
        <x:v>1.0</x:v>
      </x:c>
      <x:c r="I42" s="10">
        <x:v>1.0</x:v>
      </x:c>
      <x:c r="J42" s="10">
        <x:v>1.0</x:v>
      </x:c>
      <x:c r="K42" s="10">
        <x:v>1.0</x:v>
      </x:c>
      <x:c r="L42" s="10">
        <x:v>0.0</x:v>
      </x:c>
      <x:c r="M42" s="10">
        <x:v>0.0</x:v>
      </x:c>
      <x:c r="N42" s="13" t="n">
        <x:f>D42*'SDLC Weight'!$B$5+E42*'SDLC Weight'!$B$6+F42*'SDLC Weight'!$B$7+G42*'SDLC Weight'!$B$8+H42*'SDLC Weight'!$B$9+I42*'SDLC Weight'!$B$10+J42*'SDLC Weight'!$B$11+K42*'SDLC Weight'!$B$12+L42*'SDLC Weight'!$B$13+M42*'SDLC Weight'!$B$14</x:f>
        <x:v>0.9500000000000001</x:v>
      </x:c>
      <x:c r="O42" s="15" t="s">
        <x:v>78</x:v>
      </x:c>
      <x:c r="P42" s="14"/>
    </x:row>
    <x:row r="43">
      <x:c r="A43" s="6" t="s">
        <x:v>26</x:v>
      </x:c>
      <x:c r="B43" s="7" t="s">
        <x:v>116</x:v>
      </x:c>
      <x:c r="C43" s="8" t="s">
        <x:v>28</x:v>
      </x:c>
      <x:c r="D43" s="10">
        <x:v>1.0</x:v>
      </x:c>
      <x:c r="E43" s="10">
        <x:v>1.0</x:v>
      </x:c>
      <x:c r="F43" s="10">
        <x:v>1.0</x:v>
      </x:c>
      <x:c r="G43" s="10">
        <x:v>1.0</x:v>
      </x:c>
      <x:c r="H43" s="10">
        <x:v>1.0</x:v>
      </x:c>
      <x:c r="I43" s="10">
        <x:v>1.0</x:v>
      </x:c>
      <x:c r="J43" s="10">
        <x:v>1.0</x:v>
      </x:c>
      <x:c r="K43" s="10">
        <x:v>1.0</x:v>
      </x:c>
      <x:c r="L43" s="10">
        <x:v>0.0</x:v>
      </x:c>
      <x:c r="M43" s="10">
        <x:v>0.0</x:v>
      </x:c>
      <x:c r="N43" s="13" t="n">
        <x:f>D43*'SDLC Weight'!$B$5+E43*'SDLC Weight'!$B$6+F43*'SDLC Weight'!$B$7+G43*'SDLC Weight'!$B$8+H43*'SDLC Weight'!$B$9+I43*'SDLC Weight'!$B$10+J43*'SDLC Weight'!$B$11+K43*'SDLC Weight'!$B$12+L43*'SDLC Weight'!$B$13+M43*'SDLC Weight'!$B$14</x:f>
        <x:v>0.9500000000000001</x:v>
      </x:c>
      <x:c r="O43" s="15" t="s">
        <x:v>78</x:v>
      </x:c>
      <x:c r="P43" s="14"/>
    </x:row>
    <x:row r="44">
      <x:c r="A44" s="6" t="s">
        <x:v>22</x:v>
      </x:c>
      <x:c r="B44" s="32" t="s">
        <x:v>117</x:v>
      </x:c>
      <x:c r="C44" s="8" t="s">
        <x:v>21</x:v>
      </x:c>
      <x:c r="D44" s="11">
        <x:v>1.0</x:v>
      </x:c>
      <x:c r="E44" s="11">
        <x:v>1.0</x:v>
      </x:c>
      <x:c r="F44" s="11">
        <x:v>1.0</x:v>
      </x:c>
      <x:c r="G44" s="11">
        <x:v>1.0</x:v>
      </x:c>
      <x:c r="H44" s="11">
        <x:v>1.0</x:v>
      </x:c>
      <x:c r="I44" s="11">
        <x:v>1.0</x:v>
      </x:c>
      <x:c r="J44" s="10">
        <x:v>1.0</x:v>
      </x:c>
      <x:c r="K44" s="11">
        <x:v>1.0</x:v>
      </x:c>
      <x:c r="L44" s="11">
        <x:v>0.0</x:v>
      </x:c>
      <x:c r="M44" s="11">
        <x:v>0.0</x:v>
      </x:c>
      <x:c r="N44" s="13" t="n">
        <x:f>D44*'SDLC Weight'!$B$5+E44*'SDLC Weight'!$B$6+F44*'SDLC Weight'!$B$7+G44*'SDLC Weight'!$B$8+H44*'SDLC Weight'!$B$9+I44*'SDLC Weight'!$B$10+J44*'SDLC Weight'!$B$11+K44*'SDLC Weight'!$B$12+L44*'SDLC Weight'!$B$13+M44*'SDLC Weight'!$B$14</x:f>
        <x:v>0.9500000000000001</x:v>
      </x:c>
      <x:c r="O44" s="8" t="s">
        <x:v>118</x:v>
      </x:c>
      <x:c r="P44" s="14"/>
    </x:row>
    <x:row r="45">
      <x:c r="A45" s="6" t="s">
        <x:v>22</x:v>
      </x:c>
      <x:c r="B45" s="32" t="s">
        <x:v>119</x:v>
      </x:c>
      <x:c r="C45" s="8" t="s">
        <x:v>21</x:v>
      </x:c>
      <x:c r="D45" s="11">
        <x:v>1.0</x:v>
      </x:c>
      <x:c r="E45" s="11">
        <x:v>1.0</x:v>
      </x:c>
      <x:c r="F45" s="11">
        <x:v>1.0</x:v>
      </x:c>
      <x:c r="G45" s="11">
        <x:v>1.0</x:v>
      </x:c>
      <x:c r="H45" s="11">
        <x:v>1.0</x:v>
      </x:c>
      <x:c r="I45" s="11">
        <x:v>1.0</x:v>
      </x:c>
      <x:c r="J45" s="11">
        <x:v>0.5</x:v>
      </x:c>
      <x:c r="K45" s="11">
        <x:v>1.0</x:v>
      </x:c>
      <x:c r="L45" s="11">
        <x:v>0.0</x:v>
      </x:c>
      <x:c r="M45" s="11">
        <x:v>0.0</x:v>
      </x:c>
      <x:c r="N45" s="13" t="n">
        <x:f>D45*'SDLC Weight'!$B$5+E45*'SDLC Weight'!$B$6+F45*'SDLC Weight'!$B$7+G45*'SDLC Weight'!$B$8+H45*'SDLC Weight'!$B$9+I45*'SDLC Weight'!$B$10+J45*'SDLC Weight'!$B$11+K45*'SDLC Weight'!$B$12+L45*'SDLC Weight'!$B$13+M45*'SDLC Weight'!$B$14</x:f>
        <x:v>0.925</x:v>
      </x:c>
      <x:c r="O45" s="8" t="s">
        <x:v>118</x:v>
      </x:c>
      <x:c r="P45" s="14"/>
    </x:row>
    <x:row r="46">
      <x:c r="A46" s="6" t="s">
        <x:v>22</x:v>
      </x:c>
      <x:c r="B46" s="32" t="s">
        <x:v>120</x:v>
      </x:c>
      <x:c r="C46" s="8" t="s">
        <x:v>21</x:v>
      </x:c>
      <x:c r="D46" s="11">
        <x:v>1.0</x:v>
      </x:c>
      <x:c r="E46" s="11">
        <x:v>1.0</x:v>
      </x:c>
      <x:c r="F46" s="11">
        <x:v>1.0</x:v>
      </x:c>
      <x:c r="G46" s="11">
        <x:v>1.0</x:v>
      </x:c>
      <x:c r="H46" s="11">
        <x:v>1.0</x:v>
      </x:c>
      <x:c r="I46" s="11">
        <x:v>1.0</x:v>
      </x:c>
      <x:c r="J46" s="11">
        <x:v>0.5</x:v>
      </x:c>
      <x:c r="K46" s="11">
        <x:v>1.0</x:v>
      </x:c>
      <x:c r="L46" s="11">
        <x:v>0.0</x:v>
      </x:c>
      <x:c r="M46" s="11">
        <x:v>0.0</x:v>
      </x:c>
      <x:c r="N46" s="13" t="n">
        <x:f>D46*'SDLC Weight'!$B$5+E46*'SDLC Weight'!$B$6+F46*'SDLC Weight'!$B$7+G46*'SDLC Weight'!$B$8+H46*'SDLC Weight'!$B$9+I46*'SDLC Weight'!$B$10+J46*'SDLC Weight'!$B$11+K46*'SDLC Weight'!$B$12+L46*'SDLC Weight'!$B$13+M46*'SDLC Weight'!$B$14</x:f>
        <x:v>0.925</x:v>
      </x:c>
      <x:c r="O46" s="8" t="s">
        <x:v>118</x:v>
      </x:c>
      <x:c r="P46" s="14"/>
    </x:row>
    <x:row r="47">
      <x:c r="A47" s="6" t="s">
        <x:v>22</x:v>
      </x:c>
      <x:c r="B47" s="32" t="s">
        <x:v>121</x:v>
      </x:c>
      <x:c r="C47" s="8" t="s">
        <x:v>21</x:v>
      </x:c>
      <x:c r="D47" s="11">
        <x:v>1.0</x:v>
      </x:c>
      <x:c r="E47" s="11">
        <x:v>1.0</x:v>
      </x:c>
      <x:c r="F47" s="11">
        <x:v>1.0</x:v>
      </x:c>
      <x:c r="G47" s="11">
        <x:v>1.0</x:v>
      </x:c>
      <x:c r="H47" s="11">
        <x:v>1.0</x:v>
      </x:c>
      <x:c r="I47" s="11">
        <x:v>1.0</x:v>
      </x:c>
      <x:c r="J47" s="11">
        <x:v>0.5</x:v>
      </x:c>
      <x:c r="K47" s="11">
        <x:v>1.0</x:v>
      </x:c>
      <x:c r="L47" s="11">
        <x:v>0.0</x:v>
      </x:c>
      <x:c r="M47" s="11">
        <x:v>0.0</x:v>
      </x:c>
      <x:c r="N47" s="13" t="n">
        <x:f>D47*'SDLC Weight'!$B$5+E47*'SDLC Weight'!$B$6+F47*'SDLC Weight'!$B$7+G47*'SDLC Weight'!$B$8+H47*'SDLC Weight'!$B$9+I47*'SDLC Weight'!$B$10+J47*'SDLC Weight'!$B$11+K47*'SDLC Weight'!$B$12+L47*'SDLC Weight'!$B$13+M47*'SDLC Weight'!$B$14</x:f>
        <x:v>0.925</x:v>
      </x:c>
      <x:c r="O47" s="8" t="s">
        <x:v>118</x:v>
      </x:c>
      <x:c r="P47" s="14"/>
    </x:row>
    <x:row r="48">
      <x:c r="A48" s="6" t="s">
        <x:v>22</x:v>
      </x:c>
      <x:c r="B48" s="32" t="s">
        <x:v>122</x:v>
      </x:c>
      <x:c r="C48" s="8" t="s">
        <x:v>21</x:v>
      </x:c>
      <x:c r="D48" s="11">
        <x:v>1.0</x:v>
      </x:c>
      <x:c r="E48" s="11">
        <x:v>1.0</x:v>
      </x:c>
      <x:c r="F48" s="11">
        <x:v>1.0</x:v>
      </x:c>
      <x:c r="G48" s="11">
        <x:v>1.0</x:v>
      </x:c>
      <x:c r="H48" s="11">
        <x:v>1.0</x:v>
      </x:c>
      <x:c r="I48" s="11">
        <x:v>1.0</x:v>
      </x:c>
      <x:c r="J48" s="11">
        <x:v>0.5</x:v>
      </x:c>
      <x:c r="K48" s="11">
        <x:v>1.0</x:v>
      </x:c>
      <x:c r="L48" s="11">
        <x:v>0.0</x:v>
      </x:c>
      <x:c r="M48" s="11">
        <x:v>0.0</x:v>
      </x:c>
      <x:c r="N48" s="13" t="n">
        <x:f>D48*'SDLC Weight'!$B$5+E48*'SDLC Weight'!$B$6+F48*'SDLC Weight'!$B$7+G48*'SDLC Weight'!$B$8+H48*'SDLC Weight'!$B$9+I48*'SDLC Weight'!$B$10+J48*'SDLC Weight'!$B$11+K48*'SDLC Weight'!$B$12+L48*'SDLC Weight'!$B$13+M48*'SDLC Weight'!$B$14</x:f>
        <x:v>0.925</x:v>
      </x:c>
      <x:c r="O48" s="8" t="s">
        <x:v>118</x:v>
      </x:c>
      <x:c r="P48" s="14"/>
    </x:row>
    <x:row r="49">
      <x:c r="A49" s="6" t="s">
        <x:v>22</x:v>
      </x:c>
      <x:c r="B49" s="32" t="s">
        <x:v>123</x:v>
      </x:c>
      <x:c r="C49" s="8" t="s">
        <x:v>21</x:v>
      </x:c>
      <x:c r="D49" s="11">
        <x:v>1.0</x:v>
      </x:c>
      <x:c r="E49" s="11">
        <x:v>1.0</x:v>
      </x:c>
      <x:c r="F49" s="11">
        <x:v>1.0</x:v>
      </x:c>
      <x:c r="G49" s="11">
        <x:v>1.0</x:v>
      </x:c>
      <x:c r="H49" s="11">
        <x:v>1.0</x:v>
      </x:c>
      <x:c r="I49" s="11">
        <x:v>1.0</x:v>
      </x:c>
      <x:c r="J49" s="11">
        <x:v>0.5</x:v>
      </x:c>
      <x:c r="K49" s="11">
        <x:v>1.0</x:v>
      </x:c>
      <x:c r="L49" s="11">
        <x:v>0.0</x:v>
      </x:c>
      <x:c r="M49" s="11">
        <x:v>0.0</x:v>
      </x:c>
      <x:c r="N49" s="13" t="n">
        <x:f>D49*'SDLC Weight'!$B$5+E49*'SDLC Weight'!$B$6+F49*'SDLC Weight'!$B$7+G49*'SDLC Weight'!$B$8+H49*'SDLC Weight'!$B$9+I49*'SDLC Weight'!$B$10+J49*'SDLC Weight'!$B$11+K49*'SDLC Weight'!$B$12+L49*'SDLC Weight'!$B$13+M49*'SDLC Weight'!$B$14</x:f>
        <x:v>0.925</x:v>
      </x:c>
      <x:c r="O49" s="8" t="s">
        <x:v>118</x:v>
      </x:c>
      <x:c r="P49" s="14"/>
    </x:row>
    <x:row r="50">
      <x:c r="A50" s="6" t="s">
        <x:v>22</x:v>
      </x:c>
      <x:c r="B50" s="32" t="s">
        <x:v>124</x:v>
      </x:c>
      <x:c r="C50" s="8" t="s">
        <x:v>21</x:v>
      </x:c>
      <x:c r="D50" s="11">
        <x:v>1.0</x:v>
      </x:c>
      <x:c r="E50" s="11">
        <x:v>1.0</x:v>
      </x:c>
      <x:c r="F50" s="11">
        <x:v>1.0</x:v>
      </x:c>
      <x:c r="G50" s="11">
        <x:v>1.0</x:v>
      </x:c>
      <x:c r="H50" s="11">
        <x:v>1.0</x:v>
      </x:c>
      <x:c r="I50" s="11">
        <x:v>1.0</x:v>
      </x:c>
      <x:c r="J50" s="11">
        <x:v>0.5</x:v>
      </x:c>
      <x:c r="K50" s="11">
        <x:v>1.0</x:v>
      </x:c>
      <x:c r="L50" s="11">
        <x:v>0.0</x:v>
      </x:c>
      <x:c r="M50" s="11">
        <x:v>0.0</x:v>
      </x:c>
      <x:c r="N50" s="13" t="n">
        <x:f>D50*'SDLC Weight'!$B$5+E50*'SDLC Weight'!$B$6+F50*'SDLC Weight'!$B$7+G50*'SDLC Weight'!$B$8+H50*'SDLC Weight'!$B$9+I50*'SDLC Weight'!$B$10+J50*'SDLC Weight'!$B$11+K50*'SDLC Weight'!$B$12+L50*'SDLC Weight'!$B$13+M50*'SDLC Weight'!$B$14</x:f>
        <x:v>0.925</x:v>
      </x:c>
      <x:c r="O50" s="8" t="s">
        <x:v>118</x:v>
      </x:c>
      <x:c r="P50" s="14"/>
    </x:row>
    <x:row r="51">
      <x:c r="A51" s="6" t="s">
        <x:v>22</x:v>
      </x:c>
      <x:c r="B51" s="32" t="s">
        <x:v>125</x:v>
      </x:c>
      <x:c r="C51" s="8" t="s">
        <x:v>21</x:v>
      </x:c>
      <x:c r="D51" s="11">
        <x:v>1.0</x:v>
      </x:c>
      <x:c r="E51" s="11">
        <x:v>1.0</x:v>
      </x:c>
      <x:c r="F51" s="11">
        <x:v>1.0</x:v>
      </x:c>
      <x:c r="G51" s="11">
        <x:v>1.0</x:v>
      </x:c>
      <x:c r="H51" s="11">
        <x:v>1.0</x:v>
      </x:c>
      <x:c r="I51" s="11">
        <x:v>1.0</x:v>
      </x:c>
      <x:c r="J51" s="11">
        <x:v>0.5</x:v>
      </x:c>
      <x:c r="K51" s="11">
        <x:v>1.0</x:v>
      </x:c>
      <x:c r="L51" s="11">
        <x:v>0.0</x:v>
      </x:c>
      <x:c r="M51" s="11">
        <x:v>0.0</x:v>
      </x:c>
      <x:c r="N51" s="13" t="n">
        <x:f>D51*'SDLC Weight'!$B$5+E51*'SDLC Weight'!$B$6+F51*'SDLC Weight'!$B$7+G51*'SDLC Weight'!$B$8+H51*'SDLC Weight'!$B$9+I51*'SDLC Weight'!$B$10+J51*'SDLC Weight'!$B$11+K51*'SDLC Weight'!$B$12+L51*'SDLC Weight'!$B$13+M51*'SDLC Weight'!$B$14</x:f>
        <x:v>0.925</x:v>
      </x:c>
      <x:c r="O51" s="8" t="s">
        <x:v>118</x:v>
      </x:c>
      <x:c r="P51" s="14"/>
    </x:row>
    <x:row r="52">
      <x:c r="A52" s="6" t="s">
        <x:v>22</x:v>
      </x:c>
      <x:c r="B52" s="32" t="s">
        <x:v>126</x:v>
      </x:c>
      <x:c r="C52" s="8" t="s">
        <x:v>21</x:v>
      </x:c>
      <x:c r="D52" s="11">
        <x:v>1.0</x:v>
      </x:c>
      <x:c r="E52" s="11">
        <x:v>1.0</x:v>
      </x:c>
      <x:c r="F52" s="11">
        <x:v>1.0</x:v>
      </x:c>
      <x:c r="G52" s="11">
        <x:v>1.0</x:v>
      </x:c>
      <x:c r="H52" s="11">
        <x:v>1.0</x:v>
      </x:c>
      <x:c r="I52" s="11">
        <x:v>1.0</x:v>
      </x:c>
      <x:c r="J52" s="11">
        <x:v>0.5</x:v>
      </x:c>
      <x:c r="K52" s="11">
        <x:v>1.0</x:v>
      </x:c>
      <x:c r="L52" s="11">
        <x:v>0.0</x:v>
      </x:c>
      <x:c r="M52" s="11">
        <x:v>0.0</x:v>
      </x:c>
      <x:c r="N52" s="13" t="n">
        <x:f>D52*'SDLC Weight'!$B$5+E52*'SDLC Weight'!$B$6+F52*'SDLC Weight'!$B$7+G52*'SDLC Weight'!$B$8+H52*'SDLC Weight'!$B$9+I52*'SDLC Weight'!$B$10+J52*'SDLC Weight'!$B$11+K52*'SDLC Weight'!$B$12+L52*'SDLC Weight'!$B$13+M52*'SDLC Weight'!$B$14</x:f>
        <x:v>0.925</x:v>
      </x:c>
      <x:c r="O52" s="8" t="s">
        <x:v>118</x:v>
      </x:c>
      <x:c r="P52" s="14"/>
    </x:row>
    <x:row r="53">
      <x:c r="A53" s="6" t="s">
        <x:v>22</x:v>
      </x:c>
      <x:c r="B53" s="32" t="s">
        <x:v>127</x:v>
      </x:c>
      <x:c r="C53" s="8" t="s">
        <x:v>21</x:v>
      </x:c>
      <x:c r="D53" s="11">
        <x:v>1.0</x:v>
      </x:c>
      <x:c r="E53" s="11">
        <x:v>1.0</x:v>
      </x:c>
      <x:c r="F53" s="11">
        <x:v>1.0</x:v>
      </x:c>
      <x:c r="G53" s="11">
        <x:v>1.0</x:v>
      </x:c>
      <x:c r="H53" s="11">
        <x:v>1.0</x:v>
      </x:c>
      <x:c r="I53" s="11">
        <x:v>1.0</x:v>
      </x:c>
      <x:c r="J53" s="11">
        <x:v>0.5</x:v>
      </x:c>
      <x:c r="K53" s="11">
        <x:v>1.0</x:v>
      </x:c>
      <x:c r="L53" s="11">
        <x:v>0.0</x:v>
      </x:c>
      <x:c r="M53" s="11">
        <x:v>0.0</x:v>
      </x:c>
      <x:c r="N53" s="13" t="n">
        <x:f>D53*'SDLC Weight'!$B$5+E53*'SDLC Weight'!$B$6+F53*'SDLC Weight'!$B$7+G53*'SDLC Weight'!$B$8+H53*'SDLC Weight'!$B$9+I53*'SDLC Weight'!$B$10+J53*'SDLC Weight'!$B$11+K53*'SDLC Weight'!$B$12+L53*'SDLC Weight'!$B$13+M53*'SDLC Weight'!$B$14</x:f>
        <x:v>0.925</x:v>
      </x:c>
      <x:c r="O53" s="8" t="s">
        <x:v>118</x:v>
      </x:c>
      <x:c r="P53" s="14"/>
    </x:row>
    <x:row r="54">
      <x:c r="A54" s="6" t="s">
        <x:v>22</x:v>
      </x:c>
      <x:c r="B54" s="32" t="s">
        <x:v>128</x:v>
      </x:c>
      <x:c r="C54" s="8" t="s">
        <x:v>21</x:v>
      </x:c>
      <x:c r="D54" s="11">
        <x:v>1.0</x:v>
      </x:c>
      <x:c r="E54" s="11">
        <x:v>1.0</x:v>
      </x:c>
      <x:c r="F54" s="11">
        <x:v>1.0</x:v>
      </x:c>
      <x:c r="G54" s="11">
        <x:v>1.0</x:v>
      </x:c>
      <x:c r="H54" s="11">
        <x:v>1.0</x:v>
      </x:c>
      <x:c r="I54" s="11">
        <x:v>1.0</x:v>
      </x:c>
      <x:c r="J54" s="11">
        <x:v>0.5</x:v>
      </x:c>
      <x:c r="K54" s="11">
        <x:v>1.0</x:v>
      </x:c>
      <x:c r="L54" s="11">
        <x:v>0.0</x:v>
      </x:c>
      <x:c r="M54" s="11">
        <x:v>0.0</x:v>
      </x:c>
      <x:c r="N54" s="13" t="n">
        <x:f>D54*'SDLC Weight'!$B$5+E54*'SDLC Weight'!$B$6+F54*'SDLC Weight'!$B$7+G54*'SDLC Weight'!$B$8+H54*'SDLC Weight'!$B$9+I54*'SDLC Weight'!$B$10+J54*'SDLC Weight'!$B$11+K54*'SDLC Weight'!$B$12+L54*'SDLC Weight'!$B$13+M54*'SDLC Weight'!$B$14</x:f>
        <x:v>0.925</x:v>
      </x:c>
      <x:c r="O54" s="8" t="s">
        <x:v>118</x:v>
      </x:c>
      <x:c r="P54" s="14"/>
    </x:row>
    <x:row r="55">
      <x:c r="A55" s="6" t="s">
        <x:v>22</x:v>
      </x:c>
      <x:c r="B55" s="32" t="s">
        <x:v>129</x:v>
      </x:c>
      <x:c r="C55" s="8" t="s">
        <x:v>21</x:v>
      </x:c>
      <x:c r="D55" s="11">
        <x:v>1.0</x:v>
      </x:c>
      <x:c r="E55" s="11">
        <x:v>1.0</x:v>
      </x:c>
      <x:c r="F55" s="11">
        <x:v>1.0</x:v>
      </x:c>
      <x:c r="G55" s="11">
        <x:v>1.0</x:v>
      </x:c>
      <x:c r="H55" s="11">
        <x:v>1.0</x:v>
      </x:c>
      <x:c r="I55" s="11">
        <x:v>1.0</x:v>
      </x:c>
      <x:c r="J55" s="11">
        <x:v>0.5</x:v>
      </x:c>
      <x:c r="K55" s="11">
        <x:v>1.0</x:v>
      </x:c>
      <x:c r="L55" s="11">
        <x:v>0.0</x:v>
      </x:c>
      <x:c r="M55" s="11">
        <x:v>0.0</x:v>
      </x:c>
      <x:c r="N55" s="13" t="n">
        <x:f>D55*'SDLC Weight'!$B$5+E55*'SDLC Weight'!$B$6+F55*'SDLC Weight'!$B$7+G55*'SDLC Weight'!$B$8+H55*'SDLC Weight'!$B$9+I55*'SDLC Weight'!$B$10+J55*'SDLC Weight'!$B$11+K55*'SDLC Weight'!$B$12+L55*'SDLC Weight'!$B$13+M55*'SDLC Weight'!$B$14</x:f>
        <x:v>0.925</x:v>
      </x:c>
      <x:c r="O55" s="8" t="s">
        <x:v>118</x:v>
      </x:c>
      <x:c r="P55" s="14"/>
    </x:row>
    <x:row r="56">
      <x:c r="A56" s="6" t="s">
        <x:v>22</x:v>
      </x:c>
      <x:c r="B56" s="32" t="s">
        <x:v>130</x:v>
      </x:c>
      <x:c r="C56" s="8" t="s">
        <x:v>21</x:v>
      </x:c>
      <x:c r="D56" s="11">
        <x:v>1.0</x:v>
      </x:c>
      <x:c r="E56" s="11">
        <x:v>1.0</x:v>
      </x:c>
      <x:c r="F56" s="11">
        <x:v>1.0</x:v>
      </x:c>
      <x:c r="G56" s="11">
        <x:v>1.0</x:v>
      </x:c>
      <x:c r="H56" s="11">
        <x:v>1.0</x:v>
      </x:c>
      <x:c r="I56" s="11">
        <x:v>1.0</x:v>
      </x:c>
      <x:c r="J56" s="11">
        <x:v>0.5</x:v>
      </x:c>
      <x:c r="K56" s="11">
        <x:v>1.0</x:v>
      </x:c>
      <x:c r="L56" s="11">
        <x:v>0.0</x:v>
      </x:c>
      <x:c r="M56" s="11">
        <x:v>0.0</x:v>
      </x:c>
      <x:c r="N56" s="13" t="n">
        <x:f>D56*'SDLC Weight'!$B$5+E56*'SDLC Weight'!$B$6+F56*'SDLC Weight'!$B$7+G56*'SDLC Weight'!$B$8+H56*'SDLC Weight'!$B$9+I56*'SDLC Weight'!$B$10+J56*'SDLC Weight'!$B$11+K56*'SDLC Weight'!$B$12+L56*'SDLC Weight'!$B$13+M56*'SDLC Weight'!$B$14</x:f>
        <x:v>0.925</x:v>
      </x:c>
      <x:c r="O56" s="8" t="s">
        <x:v>118</x:v>
      </x:c>
      <x:c r="P56" s="14"/>
    </x:row>
    <x:row r="57">
      <x:c r="A57" s="6" t="s">
        <x:v>24</x:v>
      </x:c>
      <x:c r="B57" s="32" t="s">
        <x:v>131</x:v>
      </x:c>
      <x:c r="C57" s="8" t="s">
        <x:v>21</x:v>
      </x:c>
      <x:c r="D57" s="11">
        <x:v>1.0</x:v>
      </x:c>
      <x:c r="E57" s="11">
        <x:v>1.0</x:v>
      </x:c>
      <x:c r="F57" s="11">
        <x:v>1.0</x:v>
      </x:c>
      <x:c r="G57" s="11">
        <x:v>1.0</x:v>
      </x:c>
      <x:c r="H57" s="11">
        <x:v>1.0</x:v>
      </x:c>
      <x:c r="I57" s="11">
        <x:v>1.0</x:v>
      </x:c>
      <x:c r="J57" s="11">
        <x:v>1.0</x:v>
      </x:c>
      <x:c r="K57" s="11">
        <x:v>1.0</x:v>
      </x:c>
      <x:c r="L57" s="11">
        <x:v>1.0</x:v>
      </x:c>
      <x:c r="M57" s="11">
        <x:v>1.0</x:v>
      </x:c>
      <x:c r="N57" s="13" t="n">
        <x:f>D57*'SDLC Weight'!$B$5+E57*'SDLC Weight'!$B$6+F57*'SDLC Weight'!$B$7+G57*'SDLC Weight'!$B$8+H57*'SDLC Weight'!$B$9+I57*'SDLC Weight'!$B$10+J57*'SDLC Weight'!$B$11+K57*'SDLC Weight'!$B$12+L57*'SDLC Weight'!$B$13+M57*'SDLC Weight'!$B$14</x:f>
        <x:v>1</x:v>
      </x:c>
      <x:c r="O57" s="8" t="s">
        <x:v>132</x:v>
      </x:c>
      <x:c r="P57" s="14"/>
    </x:row>
    <x:row r="58">
      <x:c r="A58" s="6" t="s">
        <x:v>24</x:v>
      </x:c>
      <x:c r="B58" s="32" t="s">
        <x:v>133</x:v>
      </x:c>
      <x:c r="C58" s="8" t="s">
        <x:v>21</x:v>
      </x:c>
      <x:c r="D58" s="11">
        <x:v>1.0</x:v>
      </x:c>
      <x:c r="E58" s="11">
        <x:v>1.0</x:v>
      </x:c>
      <x:c r="F58" s="11">
        <x:v>1.0</x:v>
      </x:c>
      <x:c r="G58" s="11">
        <x:v>1.0</x:v>
      </x:c>
      <x:c r="H58" s="11">
        <x:v>1.0</x:v>
      </x:c>
      <x:c r="I58" s="11">
        <x:v>1.0</x:v>
      </x:c>
      <x:c r="J58" s="11">
        <x:v>1.0</x:v>
      </x:c>
      <x:c r="K58" s="11">
        <x:v>1.0</x:v>
      </x:c>
      <x:c r="L58" s="11">
        <x:v>1.0</x:v>
      </x:c>
      <x:c r="M58" s="11">
        <x:v>1.0</x:v>
      </x:c>
      <x:c r="N58" s="13" t="n">
        <x:f>D58*'SDLC Weight'!$B$5+E58*'SDLC Weight'!$B$6+F58*'SDLC Weight'!$B$7+G58*'SDLC Weight'!$B$8+H58*'SDLC Weight'!$B$9+I58*'SDLC Weight'!$B$10+J58*'SDLC Weight'!$B$11+K58*'SDLC Weight'!$B$12+L58*'SDLC Weight'!$B$13+M58*'SDLC Weight'!$B$14</x:f>
        <x:v>1</x:v>
      </x:c>
      <x:c r="O58" s="8" t="s">
        <x:v>132</x:v>
      </x:c>
      <x:c r="P58" s="14"/>
    </x:row>
    <x:row r="59">
      <x:c r="A59" s="6" t="s">
        <x:v>24</x:v>
      </x:c>
      <x:c r="B59" s="32" t="s">
        <x:v>134</x:v>
      </x:c>
      <x:c r="C59" s="8" t="s">
        <x:v>21</x:v>
      </x:c>
      <x:c r="D59" s="11">
        <x:v>1.0</x:v>
      </x:c>
      <x:c r="E59" s="11">
        <x:v>1.0</x:v>
      </x:c>
      <x:c r="F59" s="11">
        <x:v>1.0</x:v>
      </x:c>
      <x:c r="G59" s="11">
        <x:v>1.0</x:v>
      </x:c>
      <x:c r="H59" s="11">
        <x:v>1.0</x:v>
      </x:c>
      <x:c r="I59" s="11">
        <x:v>1.0</x:v>
      </x:c>
      <x:c r="J59" s="11">
        <x:v>1.0</x:v>
      </x:c>
      <x:c r="K59" s="11">
        <x:v>1.0</x:v>
      </x:c>
      <x:c r="L59" s="11">
        <x:v>1.0</x:v>
      </x:c>
      <x:c r="M59" s="11">
        <x:v>1.0</x:v>
      </x:c>
      <x:c r="N59" s="13" t="n">
        <x:f>D59*'SDLC Weight'!$B$5+E59*'SDLC Weight'!$B$6+F59*'SDLC Weight'!$B$7+G59*'SDLC Weight'!$B$8+H59*'SDLC Weight'!$B$9+I59*'SDLC Weight'!$B$10+J59*'SDLC Weight'!$B$11+K59*'SDLC Weight'!$B$12+L59*'SDLC Weight'!$B$13+M59*'SDLC Weight'!$B$14</x:f>
        <x:v>1</x:v>
      </x:c>
      <x:c r="O59" s="8" t="s">
        <x:v>132</x:v>
      </x:c>
      <x:c r="P59" s="14"/>
    </x:row>
    <x:row r="60">
      <x:c r="A60" s="6" t="s">
        <x:v>24</x:v>
      </x:c>
      <x:c r="B60" s="32" t="s">
        <x:v>135</x:v>
      </x:c>
      <x:c r="C60" s="8" t="s">
        <x:v>21</x:v>
      </x:c>
      <x:c r="D60" s="11">
        <x:v>1.0</x:v>
      </x:c>
      <x:c r="E60" s="11">
        <x:v>1.0</x:v>
      </x:c>
      <x:c r="F60" s="11">
        <x:v>1.0</x:v>
      </x:c>
      <x:c r="G60" s="11">
        <x:v>1.0</x:v>
      </x:c>
      <x:c r="H60" s="11">
        <x:v>1.0</x:v>
      </x:c>
      <x:c r="I60" s="11">
        <x:v>1.0</x:v>
      </x:c>
      <x:c r="J60" s="11">
        <x:v>1.0</x:v>
      </x:c>
      <x:c r="K60" s="11">
        <x:v>1.0</x:v>
      </x:c>
      <x:c r="L60" s="11">
        <x:v>1.0</x:v>
      </x:c>
      <x:c r="M60" s="11">
        <x:v>1.0</x:v>
      </x:c>
      <x:c r="N60" s="13" t="n">
        <x:f>D60*'SDLC Weight'!$B$5+E60*'SDLC Weight'!$B$6+F60*'SDLC Weight'!$B$7+G60*'SDLC Weight'!$B$8+H60*'SDLC Weight'!$B$9+I60*'SDLC Weight'!$B$10+J60*'SDLC Weight'!$B$11+K60*'SDLC Weight'!$B$12+L60*'SDLC Weight'!$B$13+M60*'SDLC Weight'!$B$14</x:f>
        <x:v>1</x:v>
      </x:c>
      <x:c r="O60" s="8" t="s">
        <x:v>132</x:v>
      </x:c>
      <x:c r="P60" s="14"/>
    </x:row>
    <x:row r="61">
      <x:c r="A61" s="6" t="s">
        <x:v>24</x:v>
      </x:c>
      <x:c r="B61" s="32" t="s">
        <x:v>136</x:v>
      </x:c>
      <x:c r="C61" s="8" t="s">
        <x:v>21</x:v>
      </x:c>
      <x:c r="D61" s="11">
        <x:v>1.0</x:v>
      </x:c>
      <x:c r="E61" s="11">
        <x:v>1.0</x:v>
      </x:c>
      <x:c r="F61" s="11">
        <x:v>1.0</x:v>
      </x:c>
      <x:c r="G61" s="11">
        <x:v>1.0</x:v>
      </x:c>
      <x:c r="H61" s="11">
        <x:v>1.0</x:v>
      </x:c>
      <x:c r="I61" s="11">
        <x:v>1.0</x:v>
      </x:c>
      <x:c r="J61" s="11">
        <x:v>1.0</x:v>
      </x:c>
      <x:c r="K61" s="11">
        <x:v>1.0</x:v>
      </x:c>
      <x:c r="L61" s="11">
        <x:v>1.0</x:v>
      </x:c>
      <x:c r="M61" s="11">
        <x:v>1.0</x:v>
      </x:c>
      <x:c r="N61" s="13" t="n">
        <x:f>D61*'SDLC Weight'!$B$5+E61*'SDLC Weight'!$B$6+F61*'SDLC Weight'!$B$7+G61*'SDLC Weight'!$B$8+H61*'SDLC Weight'!$B$9+I61*'SDLC Weight'!$B$10+J61*'SDLC Weight'!$B$11+K61*'SDLC Weight'!$B$12+L61*'SDLC Weight'!$B$13+M61*'SDLC Weight'!$B$14</x:f>
        <x:v>1</x:v>
      </x:c>
      <x:c r="O61" s="8" t="s">
        <x:v>132</x:v>
      </x:c>
      <x:c r="P61" s="14"/>
    </x:row>
    <x:row r="62">
      <x:c r="A62" s="6" t="s">
        <x:v>24</x:v>
      </x:c>
      <x:c r="B62" s="32" t="s">
        <x:v>137</x:v>
      </x:c>
      <x:c r="C62" s="8" t="s">
        <x:v>21</x:v>
      </x:c>
      <x:c r="D62" s="11">
        <x:v>1.0</x:v>
      </x:c>
      <x:c r="E62" s="11">
        <x:v>1.0</x:v>
      </x:c>
      <x:c r="F62" s="11">
        <x:v>1.0</x:v>
      </x:c>
      <x:c r="G62" s="11">
        <x:v>1.0</x:v>
      </x:c>
      <x:c r="H62" s="11">
        <x:v>1.0</x:v>
      </x:c>
      <x:c r="I62" s="11">
        <x:v>1.0</x:v>
      </x:c>
      <x:c r="J62" s="11">
        <x:v>1.0</x:v>
      </x:c>
      <x:c r="K62" s="11">
        <x:v>1.0</x:v>
      </x:c>
      <x:c r="L62" s="11">
        <x:v>1.0</x:v>
      </x:c>
      <x:c r="M62" s="11">
        <x:v>1.0</x:v>
      </x:c>
      <x:c r="N62" s="13" t="n">
        <x:f>D62*'SDLC Weight'!$B$5+E62*'SDLC Weight'!$B$6+F62*'SDLC Weight'!$B$7+G62*'SDLC Weight'!$B$8+H62*'SDLC Weight'!$B$9+I62*'SDLC Weight'!$B$10+J62*'SDLC Weight'!$B$11+K62*'SDLC Weight'!$B$12+L62*'SDLC Weight'!$B$13+M62*'SDLC Weight'!$B$14</x:f>
        <x:v>1</x:v>
      </x:c>
      <x:c r="O62" s="8" t="s">
        <x:v>132</x:v>
      </x:c>
      <x:c r="P62" s="14"/>
    </x:row>
    <x:row r="63">
      <x:c r="A63" s="6" t="s">
        <x:v>24</x:v>
      </x:c>
      <x:c r="B63" s="33" t="s">
        <x:v>138</x:v>
      </x:c>
      <x:c r="C63" s="8" t="s">
        <x:v>21</x:v>
      </x:c>
      <x:c r="D63" s="11">
        <x:v>1.0</x:v>
      </x:c>
      <x:c r="E63" s="11">
        <x:v>1.0</x:v>
      </x:c>
      <x:c r="F63" s="11">
        <x:v>1.0</x:v>
      </x:c>
      <x:c r="G63" s="11">
        <x:v>1.0</x:v>
      </x:c>
      <x:c r="H63" s="11">
        <x:v>1.0</x:v>
      </x:c>
      <x:c r="I63" s="11">
        <x:v>1.0</x:v>
      </x:c>
      <x:c r="J63" s="11">
        <x:v>1.0</x:v>
      </x:c>
      <x:c r="K63" s="11">
        <x:v>1.0</x:v>
      </x:c>
      <x:c r="L63" s="11">
        <x:v>1.0</x:v>
      </x:c>
      <x:c r="M63" s="11">
        <x:v>1.0</x:v>
      </x:c>
      <x:c r="N63" s="13" t="n">
        <x:f>D63*'SDLC Weight'!$B$5+E63*'SDLC Weight'!$B$6+F63*'SDLC Weight'!$B$7+G63*'SDLC Weight'!$B$8+H63*'SDLC Weight'!$B$9+I63*'SDLC Weight'!$B$10+J63*'SDLC Weight'!$B$11+K63*'SDLC Weight'!$B$12+L63*'SDLC Weight'!$B$13+M63*'SDLC Weight'!$B$14</x:f>
        <x:v>1</x:v>
      </x:c>
      <x:c r="O63" s="8" t="s">
        <x:v>132</x:v>
      </x:c>
      <x:c r="P63" s="14"/>
    </x:row>
    <x:row r="64">
      <x:c r="A64" s="6" t="s">
        <x:v>24</x:v>
      </x:c>
      <x:c r="B64" s="33" t="s">
        <x:v>139</x:v>
      </x:c>
      <x:c r="C64" s="8" t="s">
        <x:v>21</x:v>
      </x:c>
      <x:c r="D64" s="11">
        <x:v>1.0</x:v>
      </x:c>
      <x:c r="E64" s="11">
        <x:v>1.0</x:v>
      </x:c>
      <x:c r="F64" s="11">
        <x:v>1.0</x:v>
      </x:c>
      <x:c r="G64" s="11">
        <x:v>1.0</x:v>
      </x:c>
      <x:c r="H64" s="11">
        <x:v>1.0</x:v>
      </x:c>
      <x:c r="I64" s="11">
        <x:v>1.0</x:v>
      </x:c>
      <x:c r="J64" s="11">
        <x:v>1.0</x:v>
      </x:c>
      <x:c r="K64" s="11">
        <x:v>1.0</x:v>
      </x:c>
      <x:c r="L64" s="11">
        <x:v>1.0</x:v>
      </x:c>
      <x:c r="M64" s="11">
        <x:v>1.0</x:v>
      </x:c>
      <x:c r="N64" s="13" t="n">
        <x:f>D64*'SDLC Weight'!$B$5+E64*'SDLC Weight'!$B$6+F64*'SDLC Weight'!$B$7+G64*'SDLC Weight'!$B$8+H64*'SDLC Weight'!$B$9+I64*'SDLC Weight'!$B$10+J64*'SDLC Weight'!$B$11+K64*'SDLC Weight'!$B$12+L64*'SDLC Weight'!$B$13+M64*'SDLC Weight'!$B$14</x:f>
        <x:v>1</x:v>
      </x:c>
      <x:c r="O64" s="8" t="s">
        <x:v>132</x:v>
      </x:c>
      <x:c r="P64" s="14"/>
    </x:row>
    <x:row r="65">
      <x:c r="A65" s="6" t="s">
        <x:v>19</x:v>
      </x:c>
      <x:c r="B65" s="33" t="s">
        <x:v>140</x:v>
      </x:c>
      <x:c r="C65" s="8" t="s">
        <x:v>21</x:v>
      </x:c>
      <x:c r="D65" s="11">
        <x:v>0.92</x:v>
      </x:c>
      <x:c r="E65" s="11">
        <x:v>0.85</x:v>
      </x:c>
      <x:c r="F65" s="11">
        <x:v>1.0</x:v>
      </x:c>
      <x:c r="G65" s="11">
        <x:v>0.95</x:v>
      </x:c>
      <x:c r="H65" s="11">
        <x:v>0.0</x:v>
      </x:c>
      <x:c r="I65" s="11">
        <x:v>0.0</x:v>
      </x:c>
      <x:c r="J65" s="11">
        <x:v>0.0</x:v>
      </x:c>
      <x:c r="K65" s="11">
        <x:v>0.0</x:v>
      </x:c>
      <x:c r="L65" s="11">
        <x:v>0.0</x:v>
      </x:c>
      <x:c r="M65" s="11">
        <x:v>0.0</x:v>
      </x:c>
      <x:c r="N65" s="13" t="n">
        <x:f>D65*'SDLC Weight'!$B$5+E65*'SDLC Weight'!$B$6+F65*'SDLC Weight'!$B$7+G65*'SDLC Weight'!$B$8+H65*'SDLC Weight'!$B$9+I65*'SDLC Weight'!$B$10+J65*'SDLC Weight'!$B$11+K65*'SDLC Weight'!$B$12+L65*'SDLC Weight'!$B$13+M65*'SDLC Weight'!$B$14</x:f>
        <x:v>0.611</x:v>
      </x:c>
      <x:c r="O65" s="8" t="s">
        <x:v>78</x:v>
      </x:c>
      <x:c r="P65" s="14"/>
    </x:row>
    <x:row r="66">
      <x:c r="A66" s="6" t="s">
        <x:v>19</x:v>
      </x:c>
      <x:c r="B66" s="33" t="s">
        <x:v>141</x:v>
      </x:c>
      <x:c r="C66" s="8" t="s">
        <x:v>21</x:v>
      </x:c>
      <x:c r="D66" s="11">
        <x:v>0.92</x:v>
      </x:c>
      <x:c r="E66" s="11">
        <x:v>0.7</x:v>
      </x:c>
      <x:c r="F66" s="11">
        <x:v>1.0</x:v>
      </x:c>
      <x:c r="G66" s="11">
        <x:v>0.95</x:v>
      </x:c>
      <x:c r="H66" s="11">
        <x:v>0.0</x:v>
      </x:c>
      <x:c r="I66" s="11">
        <x:v>0.0</x:v>
      </x:c>
      <x:c r="J66" s="11">
        <x:v>0.0</x:v>
      </x:c>
      <x:c r="K66" s="11">
        <x:v>0.0</x:v>
      </x:c>
      <x:c r="L66" s="11">
        <x:v>0.0</x:v>
      </x:c>
      <x:c r="M66" s="11">
        <x:v>0.0</x:v>
      </x:c>
      <x:c r="N66" s="13" t="n">
        <x:f>D66*'SDLC Weight'!$B$5+E66*'SDLC Weight'!$B$6+F66*'SDLC Weight'!$B$7+G66*'SDLC Weight'!$B$8+H66*'SDLC Weight'!$B$9+I66*'SDLC Weight'!$B$10+J66*'SDLC Weight'!$B$11+K66*'SDLC Weight'!$B$12+L66*'SDLC Weight'!$B$13+M66*'SDLC Weight'!$B$14</x:f>
        <x:v>0.596</x:v>
      </x:c>
      <x:c r="O66" s="8" t="s">
        <x:v>78</x:v>
      </x:c>
      <x:c r="P66" s="14"/>
    </x:row>
    <x:row r="67">
      <x:c r="A67" s="6" t="s">
        <x:v>19</x:v>
      </x:c>
      <x:c r="B67" s="33" t="s">
        <x:v>142</x:v>
      </x:c>
      <x:c r="C67" s="8" t="s">
        <x:v>21</x:v>
      </x:c>
      <x:c r="D67" s="11">
        <x:v>0.92</x:v>
      </x:c>
      <x:c r="E67" s="11">
        <x:v>0.9</x:v>
      </x:c>
      <x:c r="F67" s="11">
        <x:v>1.0</x:v>
      </x:c>
      <x:c r="G67" s="11">
        <x:v>0.95</x:v>
      </x:c>
      <x:c r="H67" s="11">
        <x:v>0.0</x:v>
      </x:c>
      <x:c r="I67" s="11">
        <x:v>0.0</x:v>
      </x:c>
      <x:c r="J67" s="11">
        <x:v>0.0</x:v>
      </x:c>
      <x:c r="K67" s="11">
        <x:v>0.0</x:v>
      </x:c>
      <x:c r="L67" s="11">
        <x:v>0.0</x:v>
      </x:c>
      <x:c r="M67" s="11">
        <x:v>0.0</x:v>
      </x:c>
      <x:c r="N67" s="13" t="n">
        <x:f>D67*'SDLC Weight'!$B$5+E67*'SDLC Weight'!$B$6+F67*'SDLC Weight'!$B$7+G67*'SDLC Weight'!$B$8+H67*'SDLC Weight'!$B$9+I67*'SDLC Weight'!$B$10+J67*'SDLC Weight'!$B$11+K67*'SDLC Weight'!$B$12+L67*'SDLC Weight'!$B$13+M67*'SDLC Weight'!$B$14</x:f>
        <x:v>0.616</x:v>
      </x:c>
      <x:c r="O67" s="8" t="s">
        <x:v>78</x:v>
      </x:c>
      <x:c r="P67" s="14"/>
    </x:row>
    <x:row r="68">
      <x:c r="A68" s="6" t="s">
        <x:v>19</x:v>
      </x:c>
      <x:c r="B68" s="33" t="s">
        <x:v>143</x:v>
      </x:c>
      <x:c r="C68" s="8" t="s">
        <x:v>21</x:v>
      </x:c>
      <x:c r="D68" s="11">
        <x:v>0.92</x:v>
      </x:c>
      <x:c r="E68" s="11">
        <x:v>0.9</x:v>
      </x:c>
      <x:c r="F68" s="11">
        <x:v>1.0</x:v>
      </x:c>
      <x:c r="G68" s="11">
        <x:v>0.9</x:v>
      </x:c>
      <x:c r="H68" s="11">
        <x:v>0.0</x:v>
      </x:c>
      <x:c r="I68" s="11">
        <x:v>0.0</x:v>
      </x:c>
      <x:c r="J68" s="11">
        <x:v>0.0</x:v>
      </x:c>
      <x:c r="K68" s="11">
        <x:v>0.0</x:v>
      </x:c>
      <x:c r="L68" s="11">
        <x:v>0.0</x:v>
      </x:c>
      <x:c r="M68" s="11">
        <x:v>0.0</x:v>
      </x:c>
      <x:c r="N68" s="13" t="n">
        <x:f>D68*'SDLC Weight'!$B$5+E68*'SDLC Weight'!$B$6+F68*'SDLC Weight'!$B$7+G68*'SDLC Weight'!$B$8+H68*'SDLC Weight'!$B$9+I68*'SDLC Weight'!$B$10+J68*'SDLC Weight'!$B$11+K68*'SDLC Weight'!$B$12+L68*'SDLC Weight'!$B$13+M68*'SDLC Weight'!$B$14</x:f>
        <x:v>0.5960000000000001</x:v>
      </x:c>
      <x:c r="O68" s="8" t="s">
        <x:v>78</x:v>
      </x:c>
      <x:c r="P68" s="14"/>
    </x:row>
    <x:row r="69">
      <x:c r="A69" s="6" t="s">
        <x:v>19</x:v>
      </x:c>
      <x:c r="B69" s="33" t="s">
        <x:v>144</x:v>
      </x:c>
      <x:c r="C69" s="8" t="s">
        <x:v>21</x:v>
      </x:c>
      <x:c r="D69" s="11">
        <x:v>0.92</x:v>
      </x:c>
      <x:c r="E69" s="11">
        <x:v>0.95</x:v>
      </x:c>
      <x:c r="F69" s="11">
        <x:v>1.0</x:v>
      </x:c>
      <x:c r="G69" s="11">
        <x:v>0.95</x:v>
      </x:c>
      <x:c r="H69" s="11">
        <x:v>0.0</x:v>
      </x:c>
      <x:c r="I69" s="11">
        <x:v>0.0</x:v>
      </x:c>
      <x:c r="J69" s="11">
        <x:v>0.0</x:v>
      </x:c>
      <x:c r="K69" s="11">
        <x:v>0.0</x:v>
      </x:c>
      <x:c r="L69" s="11">
        <x:v>0.0</x:v>
      </x:c>
      <x:c r="M69" s="11">
        <x:v>0.0</x:v>
      </x:c>
      <x:c r="N69" s="13" t="n">
        <x:f>D69*'SDLC Weight'!$B$5+E69*'SDLC Weight'!$B$6+F69*'SDLC Weight'!$B$7+G69*'SDLC Weight'!$B$8+H69*'SDLC Weight'!$B$9+I69*'SDLC Weight'!$B$10+J69*'SDLC Weight'!$B$11+K69*'SDLC Weight'!$B$12+L69*'SDLC Weight'!$B$13+M69*'SDLC Weight'!$B$14</x:f>
        <x:v>0.621</x:v>
      </x:c>
      <x:c r="O69" s="8" t="s">
        <x:v>78</x:v>
      </x:c>
      <x:c r="P69" s="14"/>
    </x:row>
    <x:row r="70">
      <x:c r="A70" s="6" t="s">
        <x:v>19</x:v>
      </x:c>
      <x:c r="B70" s="33" t="s">
        <x:v>145</x:v>
      </x:c>
      <x:c r="C70" s="8" t="s">
        <x:v>21</x:v>
      </x:c>
      <x:c r="D70" s="11">
        <x:v>0.92</x:v>
      </x:c>
      <x:c r="E70" s="11">
        <x:v>0.95</x:v>
      </x:c>
      <x:c r="F70" s="11">
        <x:v>1.0</x:v>
      </x:c>
      <x:c r="G70" s="11">
        <x:v>0.95</x:v>
      </x:c>
      <x:c r="H70" s="11">
        <x:v>0.0</x:v>
      </x:c>
      <x:c r="I70" s="11">
        <x:v>0.0</x:v>
      </x:c>
      <x:c r="J70" s="11">
        <x:v>0.0</x:v>
      </x:c>
      <x:c r="K70" s="11">
        <x:v>0.0</x:v>
      </x:c>
      <x:c r="L70" s="11">
        <x:v>0.0</x:v>
      </x:c>
      <x:c r="M70" s="11">
        <x:v>0.0</x:v>
      </x:c>
      <x:c r="N70" s="13" t="n">
        <x:f>D70*'SDLC Weight'!$B$5+E70*'SDLC Weight'!$B$6+F70*'SDLC Weight'!$B$7+G70*'SDLC Weight'!$B$8+H70*'SDLC Weight'!$B$9+I70*'SDLC Weight'!$B$10+J70*'SDLC Weight'!$B$11+K70*'SDLC Weight'!$B$12+L70*'SDLC Weight'!$B$13+M70*'SDLC Weight'!$B$14</x:f>
        <x:v>0.621</x:v>
      </x:c>
      <x:c r="O70" s="8" t="s">
        <x:v>78</x:v>
      </x:c>
      <x:c r="P70" s="14"/>
    </x:row>
    <x:row r="71">
      <x:c r="A71" s="6" t="s">
        <x:v>19</x:v>
      </x:c>
      <x:c r="B71" s="33" t="s">
        <x:v>146</x:v>
      </x:c>
      <x:c r="C71" s="8" t="s">
        <x:v>21</x:v>
      </x:c>
      <x:c r="D71" s="11">
        <x:v>0.92</x:v>
      </x:c>
      <x:c r="E71" s="11">
        <x:v>0.95</x:v>
      </x:c>
      <x:c r="F71" s="11">
        <x:v>1.0</x:v>
      </x:c>
      <x:c r="G71" s="11">
        <x:v>0.95</x:v>
      </x:c>
      <x:c r="H71" s="11">
        <x:v>0.0</x:v>
      </x:c>
      <x:c r="I71" s="11">
        <x:v>0.0</x:v>
      </x:c>
      <x:c r="J71" s="11">
        <x:v>0.0</x:v>
      </x:c>
      <x:c r="K71" s="11">
        <x:v>0.0</x:v>
      </x:c>
      <x:c r="L71" s="11">
        <x:v>0.0</x:v>
      </x:c>
      <x:c r="M71" s="11">
        <x:v>0.0</x:v>
      </x:c>
      <x:c r="N71" s="13" t="n">
        <x:f>D71*'SDLC Weight'!$B$5+E71*'SDLC Weight'!$B$6+F71*'SDLC Weight'!$B$7+G71*'SDLC Weight'!$B$8+H71*'SDLC Weight'!$B$9+I71*'SDLC Weight'!$B$10+J71*'SDLC Weight'!$B$11+K71*'SDLC Weight'!$B$12+L71*'SDLC Weight'!$B$13+M71*'SDLC Weight'!$B$14</x:f>
        <x:v>0.621</x:v>
      </x:c>
      <x:c r="O71" s="8" t="s">
        <x:v>78</x:v>
      </x:c>
      <x:c r="P71" s="14"/>
    </x:row>
    <x:row r="72">
      <x:c r="A72" s="6" t="s">
        <x:v>19</x:v>
      </x:c>
      <x:c r="B72" s="33" t="s">
        <x:v>147</x:v>
      </x:c>
      <x:c r="C72" s="8" t="s">
        <x:v>21</x:v>
      </x:c>
      <x:c r="D72" s="11">
        <x:v>0.92</x:v>
      </x:c>
      <x:c r="E72" s="11">
        <x:v>0.95</x:v>
      </x:c>
      <x:c r="F72" s="11">
        <x:v>1.0</x:v>
      </x:c>
      <x:c r="G72" s="11">
        <x:v>0.95</x:v>
      </x:c>
      <x:c r="H72" s="11">
        <x:v>0.0</x:v>
      </x:c>
      <x:c r="I72" s="11">
        <x:v>0.0</x:v>
      </x:c>
      <x:c r="J72" s="11">
        <x:v>0.0</x:v>
      </x:c>
      <x:c r="K72" s="11">
        <x:v>0.0</x:v>
      </x:c>
      <x:c r="L72" s="11">
        <x:v>0.0</x:v>
      </x:c>
      <x:c r="M72" s="11">
        <x:v>0.0</x:v>
      </x:c>
      <x:c r="N72" s="13" t="n">
        <x:f>D72*'SDLC Weight'!$B$5+E72*'SDLC Weight'!$B$6+F72*'SDLC Weight'!$B$7+G72*'SDLC Weight'!$B$8+H72*'SDLC Weight'!$B$9+I72*'SDLC Weight'!$B$10+J72*'SDLC Weight'!$B$11+K72*'SDLC Weight'!$B$12+L72*'SDLC Weight'!$B$13+M72*'SDLC Weight'!$B$14</x:f>
        <x:v>0.621</x:v>
      </x:c>
      <x:c r="O72" s="8" t="s">
        <x:v>78</x:v>
      </x:c>
      <x:c r="P72" s="14"/>
    </x:row>
    <x:row r="73">
      <x:c r="A73" s="6" t="s">
        <x:v>19</x:v>
      </x:c>
      <x:c r="B73" s="33" t="s">
        <x:v>148</x:v>
      </x:c>
      <x:c r="C73" s="8" t="s">
        <x:v>21</x:v>
      </x:c>
      <x:c r="D73" s="11">
        <x:v>0.92</x:v>
      </x:c>
      <x:c r="E73" s="11">
        <x:v>0.95</x:v>
      </x:c>
      <x:c r="F73" s="11">
        <x:v>1.0</x:v>
      </x:c>
      <x:c r="G73" s="11">
        <x:v>0.9</x:v>
      </x:c>
      <x:c r="H73" s="11">
        <x:v>0.0</x:v>
      </x:c>
      <x:c r="I73" s="11">
        <x:v>0.0</x:v>
      </x:c>
      <x:c r="J73" s="11">
        <x:v>0.0</x:v>
      </x:c>
      <x:c r="K73" s="11">
        <x:v>0.0</x:v>
      </x:c>
      <x:c r="L73" s="11">
        <x:v>0.0</x:v>
      </x:c>
      <x:c r="M73" s="11">
        <x:v>0.0</x:v>
      </x:c>
      <x:c r="N73" s="13" t="n">
        <x:f>D73*'SDLC Weight'!$B$5+E73*'SDLC Weight'!$B$6+F73*'SDLC Weight'!$B$7+G73*'SDLC Weight'!$B$8+H73*'SDLC Weight'!$B$9+I73*'SDLC Weight'!$B$10+J73*'SDLC Weight'!$B$11+K73*'SDLC Weight'!$B$12+L73*'SDLC Weight'!$B$13+M73*'SDLC Weight'!$B$14</x:f>
        <x:v>0.6010000000000001</x:v>
      </x:c>
      <x:c r="O73" s="8" t="s">
        <x:v>78</x:v>
      </x:c>
      <x:c r="P73" s="14"/>
    </x:row>
    <x:row r="74">
      <x:c r="A74" s="6" t="s">
        <x:v>19</x:v>
      </x:c>
      <x:c r="B74" s="40" t="s">
        <x:v>149</x:v>
      </x:c>
      <x:c r="C74" s="8" t="s">
        <x:v>21</x:v>
      </x:c>
      <x:c r="D74" s="11">
        <x:v>0.92</x:v>
      </x:c>
      <x:c r="E74" s="11">
        <x:v>0.95</x:v>
      </x:c>
      <x:c r="F74" s="11">
        <x:v>1.0</x:v>
      </x:c>
      <x:c r="G74" s="11">
        <x:v>0.95</x:v>
      </x:c>
      <x:c r="H74" s="11">
        <x:v>0.0</x:v>
      </x:c>
      <x:c r="I74" s="11">
        <x:v>0.0</x:v>
      </x:c>
      <x:c r="J74" s="11">
        <x:v>0.0</x:v>
      </x:c>
      <x:c r="K74" s="11">
        <x:v>0.0</x:v>
      </x:c>
      <x:c r="L74" s="11">
        <x:v>0.0</x:v>
      </x:c>
      <x:c r="M74" s="11">
        <x:v>0.0</x:v>
      </x:c>
      <x:c r="N74" s="13" t="n">
        <x:f>D74*'SDLC Weight'!$B$5+E74*'SDLC Weight'!$B$6+F74*'SDLC Weight'!$B$7+G74*'SDLC Weight'!$B$8+H74*'SDLC Weight'!$B$9+I74*'SDLC Weight'!$B$10+J74*'SDLC Weight'!$B$11+K74*'SDLC Weight'!$B$12+L74*'SDLC Weight'!$B$13+M74*'SDLC Weight'!$B$14</x:f>
        <x:v>0.621</x:v>
      </x:c>
      <x:c r="O74" s="8" t="s">
        <x:v>78</x:v>
      </x:c>
    </x:row>
    <x:row r="75" ht="18" customHeight="1">
      <x:c r="A75" s="6" t="s">
        <x:v>19</x:v>
      </x:c>
      <x:c r="B75" s="41" t="s">
        <x:v>150</x:v>
      </x:c>
      <x:c r="C75" s="8" t="s">
        <x:v>21</x:v>
      </x:c>
      <x:c r="D75" s="11">
        <x:v>0.92</x:v>
      </x:c>
      <x:c r="E75" s="11">
        <x:v>0.95</x:v>
      </x:c>
      <x:c r="F75" s="11">
        <x:v>1.0</x:v>
      </x:c>
      <x:c r="G75" s="11">
        <x:v>0.95</x:v>
      </x:c>
      <x:c r="H75" s="11">
        <x:v>0.0</x:v>
      </x:c>
      <x:c r="I75" s="11">
        <x:v>0.0</x:v>
      </x:c>
      <x:c r="J75" s="11">
        <x:v>0.0</x:v>
      </x:c>
      <x:c r="K75" s="11">
        <x:v>0.0</x:v>
      </x:c>
      <x:c r="L75" s="11">
        <x:v>0.0</x:v>
      </x:c>
      <x:c r="M75" s="11">
        <x:v>0.0</x:v>
      </x:c>
      <x:c r="N75" s="13" t="n">
        <x:f>D75*'SDLC Weight'!$B$5+E75*'SDLC Weight'!$B$6+F75*'SDLC Weight'!$B$7+G75*'SDLC Weight'!$B$8+H75*'SDLC Weight'!$B$9+I75*'SDLC Weight'!$B$10+J75*'SDLC Weight'!$B$11+K75*'SDLC Weight'!$B$12+L75*'SDLC Weight'!$B$13+M75*'SDLC Weight'!$B$14</x:f>
        <x:v>0.621</x:v>
      </x:c>
      <x:c r="O75" s="8" t="s">
        <x:v>78</x:v>
      </x:c>
      <x:c r="P75" s="3"/>
    </x:row>
    <x:row r="76">
      <x:c r="A76" s="6" t="s">
        <x:v>39</x:v>
      </x:c>
      <x:c r="B76" s="42" t="s">
        <x:v>151</x:v>
      </x:c>
      <x:c r="C76" s="8" t="s">
        <x:v>28</x:v>
      </x:c>
      <x:c r="D76" s="11">
        <x:v>1.0</x:v>
      </x:c>
      <x:c r="E76" s="11">
        <x:v>1.0</x:v>
      </x:c>
      <x:c r="F76" s="11">
        <x:v>1.0</x:v>
      </x:c>
      <x:c r="G76" s="11">
        <x:v>1.0</x:v>
      </x:c>
      <x:c r="H76" s="11">
        <x:v>1.0</x:v>
      </x:c>
      <x:c r="I76" s="11">
        <x:v>1.0</x:v>
      </x:c>
      <x:c r="J76" s="11">
        <x:v>1.0</x:v>
      </x:c>
      <x:c r="K76" s="11">
        <x:v>1.0</x:v>
      </x:c>
      <x:c r="L76" s="11">
        <x:v>1.0</x:v>
      </x:c>
      <x:c r="M76" s="11">
        <x:v>1.0</x:v>
      </x:c>
      <x:c r="N76" s="13" t="n">
        <x:f>D76*'SDLC Weight'!$B$5+E76*'SDLC Weight'!$B$6+F76*'SDLC Weight'!$B$7+G76*'SDLC Weight'!$B$8+H76*'SDLC Weight'!$B$9+I76*'SDLC Weight'!$B$10+J76*'SDLC Weight'!$B$11+K76*'SDLC Weight'!$B$12+L76*'SDLC Weight'!$B$13+M76*'SDLC Weight'!$B$14</x:f>
        <x:v>1</x:v>
      </x:c>
      <x:c r="O76" s="8" t="s">
        <x:v>132</x:v>
      </x:c>
    </x:row>
    <x:row r="77">
      <x:c r="A77" s="6" t="s">
        <x:v>39</x:v>
      </x:c>
      <x:c r="B77" s="42" t="s">
        <x:v>152</x:v>
      </x:c>
      <x:c r="C77" s="8" t="s">
        <x:v>28</x:v>
      </x:c>
      <x:c r="D77" s="11">
        <x:v>1.0</x:v>
      </x:c>
      <x:c r="E77" s="11">
        <x:v>1.0</x:v>
      </x:c>
      <x:c r="F77" s="11">
        <x:v>1.0</x:v>
      </x:c>
      <x:c r="G77" s="11">
        <x:v>1.0</x:v>
      </x:c>
      <x:c r="H77" s="11">
        <x:v>1.0</x:v>
      </x:c>
      <x:c r="I77" s="11">
        <x:v>1.0</x:v>
      </x:c>
      <x:c r="J77" s="11">
        <x:v>1.0</x:v>
      </x:c>
      <x:c r="K77" s="11">
        <x:v>1.0</x:v>
      </x:c>
      <x:c r="L77" s="11">
        <x:v>1.0</x:v>
      </x:c>
      <x:c r="M77" s="11">
        <x:v>1.0</x:v>
      </x:c>
      <x:c r="N77" s="13" t="n">
        <x:f>D77*'SDLC Weight'!$B$5+E77*'SDLC Weight'!$B$6+F77*'SDLC Weight'!$B$7+G77*'SDLC Weight'!$B$8+H77*'SDLC Weight'!$B$9+I77*'SDLC Weight'!$B$10+J77*'SDLC Weight'!$B$11+K77*'SDLC Weight'!$B$12+L77*'SDLC Weight'!$B$13+M77*'SDLC Weight'!$B$14</x:f>
        <x:v>1</x:v>
      </x:c>
      <x:c r="O77" s="8" t="s">
        <x:v>132</x:v>
      </x:c>
    </x:row>
    <x:row r="78">
      <x:c r="A78" s="6" t="s">
        <x:v>39</x:v>
      </x:c>
      <x:c r="B78" s="42" t="s">
        <x:v>153</x:v>
      </x:c>
      <x:c r="C78" s="8" t="s">
        <x:v>28</x:v>
      </x:c>
      <x:c r="D78" s="11">
        <x:v>1.0</x:v>
      </x:c>
      <x:c r="E78" s="11">
        <x:v>1.0</x:v>
      </x:c>
      <x:c r="F78" s="11">
        <x:v>1.0</x:v>
      </x:c>
      <x:c r="G78" s="11">
        <x:v>1.0</x:v>
      </x:c>
      <x:c r="H78" s="11">
        <x:v>1.0</x:v>
      </x:c>
      <x:c r="I78" s="11">
        <x:v>1.0</x:v>
      </x:c>
      <x:c r="J78" s="11">
        <x:v>1.0</x:v>
      </x:c>
      <x:c r="K78" s="11">
        <x:v>1.0</x:v>
      </x:c>
      <x:c r="L78" s="11">
        <x:v>1.0</x:v>
      </x:c>
      <x:c r="M78" s="11">
        <x:v>1.0</x:v>
      </x:c>
      <x:c r="N78" s="13" t="n">
        <x:f>D78*'SDLC Weight'!$B$5+E78*'SDLC Weight'!$B$6+F78*'SDLC Weight'!$B$7+G78*'SDLC Weight'!$B$8+H78*'SDLC Weight'!$B$9+I78*'SDLC Weight'!$B$10+J78*'SDLC Weight'!$B$11+K78*'SDLC Weight'!$B$12+L78*'SDLC Weight'!$B$13+M78*'SDLC Weight'!$B$14</x:f>
        <x:v>1</x:v>
      </x:c>
      <x:c r="O78" s="8" t="s">
        <x:v>132</x:v>
      </x:c>
    </x:row>
    <x:row r="79">
      <x:c r="A79" s="6" t="s">
        <x:v>39</x:v>
      </x:c>
      <x:c r="B79" s="42" t="s">
        <x:v>154</x:v>
      </x:c>
      <x:c r="C79" s="8" t="s">
        <x:v>28</x:v>
      </x:c>
      <x:c r="D79" s="11">
        <x:v>1.0</x:v>
      </x:c>
      <x:c r="E79" s="11">
        <x:v>1.0</x:v>
      </x:c>
      <x:c r="F79" s="11">
        <x:v>1.0</x:v>
      </x:c>
      <x:c r="G79" s="11">
        <x:v>1.0</x:v>
      </x:c>
      <x:c r="H79" s="11">
        <x:v>1.0</x:v>
      </x:c>
      <x:c r="I79" s="11">
        <x:v>1.0</x:v>
      </x:c>
      <x:c r="J79" s="11">
        <x:v>1.0</x:v>
      </x:c>
      <x:c r="K79" s="11">
        <x:v>1.0</x:v>
      </x:c>
      <x:c r="L79" s="11">
        <x:v>1.0</x:v>
      </x:c>
      <x:c r="M79" s="11">
        <x:v>1.0</x:v>
      </x:c>
      <x:c r="N79" s="13" t="n">
        <x:f>D79*'SDLC Weight'!$B$5+E79*'SDLC Weight'!$B$6+F79*'SDLC Weight'!$B$7+G79*'SDLC Weight'!$B$8+H79*'SDLC Weight'!$B$9+I79*'SDLC Weight'!$B$10+J79*'SDLC Weight'!$B$11+K79*'SDLC Weight'!$B$12+L79*'SDLC Weight'!$B$13+M79*'SDLC Weight'!$B$14</x:f>
        <x:v>1</x:v>
      </x:c>
      <x:c r="O79" s="8" t="s">
        <x:v>132</x:v>
      </x:c>
    </x:row>
    <x:row r="80">
      <x:c r="A80" s="6" t="s">
        <x:v>39</x:v>
      </x:c>
      <x:c r="B80" s="42" t="s">
        <x:v>155</x:v>
      </x:c>
      <x:c r="C80" s="8" t="s">
        <x:v>28</x:v>
      </x:c>
      <x:c r="D80" s="11">
        <x:v>1.0</x:v>
      </x:c>
      <x:c r="E80" s="11">
        <x:v>1.0</x:v>
      </x:c>
      <x:c r="F80" s="11">
        <x:v>1.0</x:v>
      </x:c>
      <x:c r="G80" s="11">
        <x:v>1.0</x:v>
      </x:c>
      <x:c r="H80" s="11">
        <x:v>1.0</x:v>
      </x:c>
      <x:c r="I80" s="11">
        <x:v>1.0</x:v>
      </x:c>
      <x:c r="J80" s="11">
        <x:v>1.0</x:v>
      </x:c>
      <x:c r="K80" s="11">
        <x:v>1.0</x:v>
      </x:c>
      <x:c r="L80" s="11">
        <x:v>1.0</x:v>
      </x:c>
      <x:c r="M80" s="11">
        <x:v>1.0</x:v>
      </x:c>
      <x:c r="N80" s="13" t="n">
        <x:f>D80*'SDLC Weight'!$B$5+E80*'SDLC Weight'!$B$6+F80*'SDLC Weight'!$B$7+G80*'SDLC Weight'!$B$8+H80*'SDLC Weight'!$B$9+I80*'SDLC Weight'!$B$10+J80*'SDLC Weight'!$B$11+K80*'SDLC Weight'!$B$12+L80*'SDLC Weight'!$B$13+M80*'SDLC Weight'!$B$14</x:f>
        <x:v>1</x:v>
      </x:c>
      <x:c r="O80" s="8" t="s">
        <x:v>132</x:v>
      </x:c>
    </x:row>
    <x:row r="81">
      <x:c r="A81" s="6" t="s">
        <x:v>39</x:v>
      </x:c>
      <x:c r="B81" s="42" t="s">
        <x:v>156</x:v>
      </x:c>
      <x:c r="C81" s="8" t="s">
        <x:v>28</x:v>
      </x:c>
      <x:c r="D81" s="11">
        <x:v>1.0</x:v>
      </x:c>
      <x:c r="E81" s="11">
        <x:v>1.0</x:v>
      </x:c>
      <x:c r="F81" s="11">
        <x:v>1.0</x:v>
      </x:c>
      <x:c r="G81" s="11">
        <x:v>1.0</x:v>
      </x:c>
      <x:c r="H81" s="11">
        <x:v>1.0</x:v>
      </x:c>
      <x:c r="I81" s="11">
        <x:v>1.0</x:v>
      </x:c>
      <x:c r="J81" s="11">
        <x:v>1.0</x:v>
      </x:c>
      <x:c r="K81" s="11">
        <x:v>1.0</x:v>
      </x:c>
      <x:c r="L81" s="11">
        <x:v>1.0</x:v>
      </x:c>
      <x:c r="M81" s="11">
        <x:v>1.0</x:v>
      </x:c>
      <x:c r="N81" s="13" t="n">
        <x:f>D81*'SDLC Weight'!$B$5+E81*'SDLC Weight'!$B$6+F81*'SDLC Weight'!$B$7+G81*'SDLC Weight'!$B$8+H81*'SDLC Weight'!$B$9+I81*'SDLC Weight'!$B$10+J81*'SDLC Weight'!$B$11+K81*'SDLC Weight'!$B$12+L81*'SDLC Weight'!$B$13+M81*'SDLC Weight'!$B$14</x:f>
        <x:v>1</x:v>
      </x:c>
      <x:c r="O81" s="8" t="s">
        <x:v>132</x:v>
      </x:c>
    </x:row>
    <x:row r="82" ht="15.75" customHeight="1">
      <x:c r="A82" s="6" t="s">
        <x:v>39</x:v>
      </x:c>
      <x:c r="B82" s="42" t="s">
        <x:v>157</x:v>
      </x:c>
      <x:c r="C82" s="8" t="s">
        <x:v>28</x:v>
      </x:c>
      <x:c r="D82" s="11">
        <x:v>1.0</x:v>
      </x:c>
      <x:c r="E82" s="11">
        <x:v>1.0</x:v>
      </x:c>
      <x:c r="F82" s="11">
        <x:v>1.0</x:v>
      </x:c>
      <x:c r="G82" s="11">
        <x:v>1.0</x:v>
      </x:c>
      <x:c r="H82" s="11">
        <x:v>1.0</x:v>
      </x:c>
      <x:c r="I82" s="11">
        <x:v>1.0</x:v>
      </x:c>
      <x:c r="J82" s="11">
        <x:v>1.0</x:v>
      </x:c>
      <x:c r="K82" s="11">
        <x:v>1.0</x:v>
      </x:c>
      <x:c r="L82" s="11">
        <x:v>1.0</x:v>
      </x:c>
      <x:c r="M82" s="11">
        <x:v>1.0</x:v>
      </x:c>
      <x:c r="N82" s="13" t="n">
        <x:f>D82*'SDLC Weight'!$B$5+E82*'SDLC Weight'!$B$6+F82*'SDLC Weight'!$B$7+G82*'SDLC Weight'!$B$8+H82*'SDLC Weight'!$B$9+I82*'SDLC Weight'!$B$10+J82*'SDLC Weight'!$B$11+K82*'SDLC Weight'!$B$12+L82*'SDLC Weight'!$B$13+M82*'SDLC Weight'!$B$14</x:f>
        <x:v>1</x:v>
      </x:c>
      <x:c r="O82" s="8" t="s">
        <x:v>132</x:v>
      </x:c>
    </x:row>
    <x:row r="83" ht="15.75" customHeight="1">
      <x:c r="A83" s="6" t="s">
        <x:v>39</x:v>
      </x:c>
      <x:c r="B83" s="1" t="s">
        <x:v>158</x:v>
      </x:c>
      <x:c r="C83" s="8" t="s">
        <x:v>28</x:v>
      </x:c>
      <x:c r="D83" s="11">
        <x:v>1.0</x:v>
      </x:c>
      <x:c r="E83" s="11">
        <x:v>1.0</x:v>
      </x:c>
      <x:c r="F83" s="11">
        <x:v>1.0</x:v>
      </x:c>
      <x:c r="G83" s="11">
        <x:v>1.0</x:v>
      </x:c>
      <x:c r="H83" s="11">
        <x:v>1.0</x:v>
      </x:c>
      <x:c r="I83" s="11">
        <x:v>1.0</x:v>
      </x:c>
      <x:c r="J83" s="11">
        <x:v>1.0</x:v>
      </x:c>
      <x:c r="K83" s="11">
        <x:v>1.0</x:v>
      </x:c>
      <x:c r="L83" s="11">
        <x:v>1.0</x:v>
      </x:c>
      <x:c r="M83" s="11">
        <x:v>1.0</x:v>
      </x:c>
      <x:c r="N83" s="13" t="n">
        <x:f>D83*'SDLC Weight'!$B$5+E83*'SDLC Weight'!$B$6+F83*'SDLC Weight'!$B$7+G83*'SDLC Weight'!$B$8+H83*'SDLC Weight'!$B$9+I83*'SDLC Weight'!$B$10+J83*'SDLC Weight'!$B$11+K83*'SDLC Weight'!$B$12+L83*'SDLC Weight'!$B$13+M83*'SDLC Weight'!$B$14</x:f>
        <x:v>1</x:v>
      </x:c>
      <x:c r="O83" s="8" t="s">
        <x:v>132</x:v>
      </x:c>
    </x:row>
    <x:row r="84" ht="15.75" customHeight="1">
      <x:c r="A84" s="6" t="s">
        <x:v>46</x:v>
      </x:c>
      <x:c r="B84" s="1" t="s">
        <x:v>159</x:v>
      </x:c>
      <x:c r="C84" s="8" t="s">
        <x:v>28</x:v>
      </x:c>
      <x:c r="D84" s="11">
        <x:v>1.0</x:v>
      </x:c>
      <x:c r="E84" s="11">
        <x:v>1.0</x:v>
      </x:c>
      <x:c r="F84" s="11">
        <x:v>1.0</x:v>
      </x:c>
      <x:c r="G84" s="11">
        <x:v>1.0</x:v>
      </x:c>
      <x:c r="H84" s="11">
        <x:v>1.0</x:v>
      </x:c>
      <x:c r="I84" s="11">
        <x:v>1.0</x:v>
      </x:c>
      <x:c r="J84" s="11">
        <x:v>1.0</x:v>
      </x:c>
      <x:c r="K84" s="11">
        <x:v>1.0</x:v>
      </x:c>
      <x:c r="L84" s="11">
        <x:v>1.0</x:v>
      </x:c>
      <x:c r="M84" s="11">
        <x:v>1.0</x:v>
      </x:c>
      <x:c r="N84" s="13" t="n">
        <x:f>D84*'SDLC Weight'!$B$5+E84*'SDLC Weight'!$B$6+F84*'SDLC Weight'!$B$7+G84*'SDLC Weight'!$B$8+H84*'SDLC Weight'!$B$9+I84*'SDLC Weight'!$B$10+J84*'SDLC Weight'!$B$11+K84*'SDLC Weight'!$B$12+L84*'SDLC Weight'!$B$13+M84*'SDLC Weight'!$B$14</x:f>
        <x:v>1</x:v>
      </x:c>
      <x:c r="O84" s="8" t="s">
        <x:v>132</x:v>
      </x:c>
    </x:row>
    <x:row r="85" ht="15.75" customHeight="1">
      <x:c r="A85" s="6" t="s">
        <x:v>29</x:v>
      </x:c>
      <x:c r="B85" s="1" t="s">
        <x:v>160</x:v>
      </x:c>
      <x:c r="C85" s="8" t="s">
        <x:v>16</x:v>
      </x:c>
      <x:c r="D85" s="11">
        <x:v>1.0</x:v>
      </x:c>
      <x:c r="E85" s="11">
        <x:v>1.0</x:v>
      </x:c>
      <x:c r="F85" s="11">
        <x:v>1.0</x:v>
      </x:c>
      <x:c r="G85" s="11">
        <x:v>1.0</x:v>
      </x:c>
      <x:c r="H85" s="11">
        <x:v>1.0</x:v>
      </x:c>
      <x:c r="I85" s="11">
        <x:v>1.0</x:v>
      </x:c>
      <x:c r="J85" s="11">
        <x:v>1.0</x:v>
      </x:c>
      <x:c r="K85" s="11">
        <x:v>1.0</x:v>
      </x:c>
      <x:c r="L85" s="11">
        <x:v>1.0</x:v>
      </x:c>
      <x:c r="M85" s="11">
        <x:v>1.0</x:v>
      </x:c>
      <x:c r="N85" s="13" t="n">
        <x:f>D85*'SDLC Weight'!$B$5+E85*'SDLC Weight'!$B$6+F85*'SDLC Weight'!$B$7+G85*'SDLC Weight'!$B$8+H85*'SDLC Weight'!$B$9+I85*'SDLC Weight'!$B$10+J85*'SDLC Weight'!$B$11+K85*'SDLC Weight'!$B$12+L85*'SDLC Weight'!$B$13+M85*'SDLC Weight'!$B$14</x:f>
        <x:v>1</x:v>
      </x:c>
      <x:c r="O85" s="8" t="s">
        <x:v>78</x:v>
      </x:c>
    </x:row>
    <x:row r="86" ht="15.75" customHeight="1">
      <x:c r="A86" s="6" t="s">
        <x:v>29</x:v>
      </x:c>
      <x:c r="B86" s="1" t="s">
        <x:v>161</x:v>
      </x:c>
      <x:c r="C86" s="8" t="s">
        <x:v>16</x:v>
      </x:c>
      <x:c r="D86" s="11">
        <x:v>1.0</x:v>
      </x:c>
      <x:c r="E86" s="11">
        <x:v>1.0</x:v>
      </x:c>
      <x:c r="F86" s="11">
        <x:v>1.0</x:v>
      </x:c>
      <x:c r="G86" s="11">
        <x:v>1.0</x:v>
      </x:c>
      <x:c r="H86" s="11">
        <x:v>1.0</x:v>
      </x:c>
      <x:c r="I86" s="11">
        <x:v>1.0</x:v>
      </x:c>
      <x:c r="J86" s="11">
        <x:v>1.0</x:v>
      </x:c>
      <x:c r="K86" s="11">
        <x:v>1.0</x:v>
      </x:c>
      <x:c r="L86" s="11">
        <x:v>1.0</x:v>
      </x:c>
      <x:c r="M86" s="11">
        <x:v>1.0</x:v>
      </x:c>
      <x:c r="N86" s="13" t="n">
        <x:f>D86*'SDLC Weight'!$B$5+E86*'SDLC Weight'!$B$6+F86*'SDLC Weight'!$B$7+G86*'SDLC Weight'!$B$8+H86*'SDLC Weight'!$B$9+I86*'SDLC Weight'!$B$10+J86*'SDLC Weight'!$B$11+K86*'SDLC Weight'!$B$12+L86*'SDLC Weight'!$B$13+M86*'SDLC Weight'!$B$14</x:f>
        <x:v>1</x:v>
      </x:c>
      <x:c r="O86" s="8" t="s">
        <x:v>78</x:v>
      </x:c>
    </x:row>
    <x:row r="87" ht="15.75" customHeight="1">
      <x:c r="A87" s="6"/>
      <x:c r="C87" s="8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3"/>
      <x:c r="O87" s="34"/>
    </x:row>
    <x:row r="88" ht="15.75" customHeight="1">
      <x:c r="A88" s="6"/>
      <x:c r="C88" s="8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3"/>
      <x:c r="O88" s="34"/>
    </x:row>
    <x:row r="89" ht="15.75" customHeight="1">
      <x:c r="A89" s="6"/>
      <x:c r="C89" s="8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3"/>
      <x:c r="O89" s="34"/>
    </x:row>
    <x:row r="90" ht="15.75" customHeight="1">
      <x:c r="A90" s="6"/>
      <x:c r="C90" s="8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3"/>
      <x:c r="O90" s="34"/>
    </x:row>
    <x:row r="91" ht="15.75" customHeight="1">
      <x:c r="A91" s="6"/>
      <x:c r="C91" s="8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3"/>
      <x:c r="O91" s="34"/>
    </x:row>
    <x:row r="92" ht="15.75" customHeight="1">
      <x:c r="A92" s="6"/>
      <x:c r="C92" s="8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3"/>
      <x:c r="O92" s="34"/>
    </x:row>
    <x:row r="93" ht="15.75" customHeight="1">
      <x:c r="A93" s="6"/>
      <x:c r="C93" s="8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3"/>
      <x:c r="O93" s="34"/>
    </x:row>
    <x:row r="94" ht="15.75" customHeight="1">
      <x:c r="A94" s="6"/>
      <x:c r="C94" s="8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3"/>
      <x:c r="O94" s="34"/>
    </x:row>
    <x:row r="95" ht="15.75" customHeight="1">
      <x:c r="A95" s="6"/>
      <x:c r="C95" s="8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3"/>
      <x:c r="O95" s="34"/>
    </x:row>
    <x:row r="96" ht="15.75" customHeight="1">
      <x:c r="A96" s="6"/>
      <x:c r="C96" s="8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3"/>
      <x:c r="O96" s="34"/>
    </x:row>
    <x:row r="97" ht="15.75" customHeight="1">
      <x:c r="A97" s="6"/>
      <x:c r="C97" s="8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3"/>
      <x:c r="O97" s="34"/>
    </x:row>
    <x:row r="98" ht="15.75" customHeight="1">
      <x:c r="A98" s="6"/>
      <x:c r="C98" s="8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3"/>
      <x:c r="O98" s="34"/>
    </x:row>
    <x:row r="99" ht="15.75" customHeight="1">
      <x:c r="A99" s="6"/>
      <x:c r="C99" s="8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3"/>
      <x:c r="O99" s="34"/>
    </x:row>
    <x:row r="100" ht="15.75" customHeight="1">
      <x:c r="A100" s="6"/>
      <x:c r="C100" s="8"/>
      <x:c r="D100" s="11">
        <x:v>1.0</x:v>
      </x:c>
      <x:c r="E100" s="11">
        <x:v>0.0</x:v>
      </x:c>
      <x:c r="F100" s="11">
        <x:v>0.0</x:v>
      </x:c>
      <x:c r="G100" s="11">
        <x:v>0.0</x:v>
      </x:c>
      <x:c r="H100" s="11">
        <x:v>0.0</x:v>
      </x:c>
      <x:c r="I100" s="11">
        <x:v>0.0</x:v>
      </x:c>
      <x:c r="J100" s="11">
        <x:v>0.0</x:v>
      </x:c>
      <x:c r="K100" s="11">
        <x:v>0.0</x:v>
      </x:c>
      <x:c r="L100" s="11">
        <x:v>0.0</x:v>
      </x:c>
      <x:c r="M100" s="11">
        <x:v>0.0</x:v>
      </x:c>
      <x:c r="N100" s="13" t="n">
        <x:f>D100*'SDLC Weight'!$B$5+E100*'SDLC Weight'!$B$6+F100*'SDLC Weight'!$B$7+G100*'SDLC Weight'!$B$8+H100*'SDLC Weight'!$B$9+I100*'SDLC Weight'!$B$10+J100*'SDLC Weight'!$B$11+K100*'SDLC Weight'!$B$12+L100*'SDLC Weight'!$B$13+M100*'SDLC Weight'!$B$14</x:f>
        <x:v>0.05</x:v>
      </x:c>
      <x:c r="O100" s="34"/>
    </x:row>
    <x:row r="101" ht="15.75" customHeight="1">
      <x:c r="O101" s="34"/>
    </x:row>
    <x:row r="102" ht="15.75" customHeight="1">
      <x:c r="O102" s="34"/>
    </x:row>
    <x:row r="103" ht="15.75" customHeight="1">
      <x:c r="O103" s="34"/>
    </x:row>
    <x:row r="104" ht="15.75" customHeight="1">
      <x:c r="O104" s="34"/>
    </x:row>
    <x:row r="105" ht="15.75" customHeight="1">
      <x:c r="O105" s="34"/>
    </x:row>
    <x:row r="106">
      <x:c r="A106" s="18" t="s">
        <x:v>51</x:v>
      </x:c>
      <x:c r="B106" s="3" t="s">
        <x:v>162</x:v>
      </x:c>
    </x:row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  <x:row r="1014" ht="15.75" customHeight="1"/>
    <x:row r="1015" ht="15.75" customHeight="1"/>
    <x:row r="1016" ht="15.75" customHeight="1"/>
    <x:row r="1017" ht="15.75" customHeight="1"/>
    <x:row r="1018" ht="15.75" customHeight="1"/>
    <x:row r="1019" ht="15.75" customHeight="1"/>
    <x:row r="1020" ht="15.75" customHeight="1"/>
    <x:row r="1021" ht="15.75" customHeight="1"/>
    <x:row r="1022" ht="15.75" customHeight="1"/>
    <x:row r="1023" ht="15.75" customHeight="1"/>
    <x:row r="1024" ht="15.75" customHeight="1"/>
    <x:row r="1025" ht="15.75" customHeight="1"/>
    <x:row r="1026" ht="15.75" customHeight="1"/>
    <x:row r="1027" ht="15.75" customHeight="1"/>
    <x:row r="1028" ht="15.75" customHeight="1"/>
    <x:row r="1029" ht="15.75" customHeight="1"/>
    <x:row r="1030" ht="15.75" customHeight="1"/>
    <x:row r="1031" ht="15.75" customHeight="1"/>
    <x:row r="1032" ht="15.75" customHeight="1"/>
    <x:row r="1033" ht="15.75" customHeight="1"/>
    <x:row r="1034" ht="15.75" customHeight="1"/>
    <x:row r="1035" ht="15.75" customHeight="1"/>
    <x:row r="1036" ht="15.75" customHeight="1"/>
    <x:row r="1037" ht="15.75" customHeight="1"/>
    <x:row r="1038" ht="15.75" customHeight="1"/>
    <x:row r="1039" ht="15.75" customHeight="1"/>
    <x:row r="1040" ht="15.75" customHeight="1"/>
    <x:row r="1041" ht="15.75" customHeight="1"/>
    <x:row r="1042" ht="15.75" customHeight="1"/>
    <x:row r="1043" ht="15.75" customHeight="1"/>
    <x:row r="1044" ht="15.75" customHeight="1"/>
    <x:row r="1045" ht="15.75" customHeight="1"/>
    <x:row r="1046" ht="15.75" customHeight="1"/>
    <x:row r="1047" ht="15.75" customHeight="1"/>
    <x:row r="1048" ht="15.75" customHeight="1"/>
    <x:row r="1049" ht="15.75" customHeight="1"/>
    <x:row r="1050" ht="15.75" customHeight="1"/>
    <x:row r="1051" ht="15.75" customHeight="1"/>
    <x:row r="1052" ht="15.75" customHeight="1"/>
    <x:row r="1053" ht="15.75" customHeight="1"/>
    <x:row r="1054" ht="15.75" customHeight="1"/>
    <x:row r="1055" ht="15.75" customHeight="1"/>
    <x:row r="1056" ht="15.75" customHeight="1"/>
    <x:row r="1057" ht="15.75" customHeight="1"/>
    <x:row r="1058" ht="15.75" customHeight="1"/>
    <x:row r="1059" ht="15.75" customHeight="1"/>
    <x:row r="1060" ht="15.75" customHeight="1"/>
    <x:row r="1061" ht="15.75" customHeight="1"/>
    <x:row r="1062" ht="15.75" customHeight="1"/>
    <x:row r="1063" ht="15.75" customHeight="1"/>
    <x:row r="1064" ht="15.75" customHeight="1"/>
    <x:row r="1065" ht="15.75" customHeight="1"/>
    <x:row r="1066" ht="15.75" customHeight="1"/>
    <x:row r="1067" ht="15.75" customHeight="1"/>
    <x:row r="1068" ht="15.75" customHeight="1"/>
    <x:row r="1069" ht="15.75" customHeight="1"/>
    <x:row r="1070" ht="15.75" customHeight="1"/>
    <x:row r="1071" ht="15.75" customHeight="1"/>
    <x:row r="1072" ht="15.75" customHeight="1"/>
    <x:row r="1073" ht="15.75" customHeight="1"/>
    <x:row r="1074" ht="15.75" customHeight="1"/>
    <x:row r="1075" ht="15.75" customHeight="1"/>
  </x:sheetData>
  <x:mergeCells>
    <x:mergeCell ref="A1:O1"/>
    <x:mergeCell ref="A2:O2"/>
    <x:mergeCell ref="B106:P106"/>
  </x:mergeCells>
  <x:conditionalFormatting sqref="N5:N100">
    <x:cfRule type="cellIs" dxfId="0" priority="1" operator="lessThan">
      <x:formula>0.31</x:formula>
    </x:cfRule>
  </x:conditionalFormatting>
  <x:conditionalFormatting sqref="N5:N100">
    <x:cfRule type="cellIs" dxfId="1" priority="2" operator="between">
      <x:formula>0.31</x:formula>
      <x:formula>0.7</x:formula>
    </x:cfRule>
  </x:conditionalFormatting>
  <x:conditionalFormatting sqref="N5:N100">
    <x:cfRule type="cellIs" dxfId="2" priority="3" operator="greaterThanOrEqual">
      <x:formula>0.71</x:formula>
    </x:cfRule>
  </x:conditionalFormatting>
  <x:dataValidations count="1">
    <x:dataValidation type="list" allowBlank="1" sqref="O5:O105">
      <x:formula1>"Not Started,In Progress,For Review,Blocked,For QA,For UAT,Ready for Deployment,Completed"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8" customWidth="1"/>
    <x:col min="2" max="2" width="13" customWidth="1"/>
    <x:col min="3" max="3" width="14" customWidth="1"/>
    <x:col min="4" max="4" width="12" customWidth="1"/>
    <x:col min="5" max="5" width="16.709999084472656" customWidth="1"/>
    <x:col min="6" max="6" width="15" customWidth="1"/>
    <x:col min="7" max="7" width="10" customWidth="1"/>
    <x:col min="8" max="26" width="8.710000038146973" customWidth="1"/>
  </x:cols>
  <x:sheetData>
    <x:row r="1" ht="21.75" customHeight="1">
      <x:c r="A1" s="2" t="s">
        <x:v>163</x:v>
      </x:c>
    </x:row>
    <x:row r="2" ht="15" customHeight="1">
      <x:c r="A2" s="3" t="s">
        <x:v>164</x:v>
      </x:c>
    </x:row>
    <x:row r="4">
      <x:c r="A4" s="4" t="s">
        <x:v>2</x:v>
      </x:c>
      <x:c r="B4" s="4" t="s">
        <x:v>165</x:v>
      </x:c>
      <x:c r="C4" s="4" t="s">
        <x:v>132</x:v>
      </x:c>
      <x:c r="D4" s="4" t="s">
        <x:v>78</x:v>
      </x:c>
      <x:c r="E4" s="4" t="s">
        <x:v>166</x:v>
      </x:c>
      <x:c r="F4" s="4" t="s">
        <x:v>8</x:v>
      </x:c>
      <x:c r="G4" s="4" t="s">
        <x:v>167</x:v>
      </x:c>
    </x:row>
    <x:row r="5">
      <x:c r="A5" s="9" t="str">
        <x:f>'Project Info'!A5</x:f>
        <x:v>Commercial Real Estate Operations Platform</x:v>
      </x:c>
      <x:c r="B5" s="9" t="n">
        <x:f>COUNTIF('Modules Progress'!$A:$A,$A5)</x:f>
        <x:v>11</x:v>
      </x:c>
      <x:c r="C5" s="9" t="n">
        <x:f>COUNTIFS('Modules Progress'!$A$5:$A$104,$A5,'Modules Progress'!$O$5:$O$104,"Completed")</x:f>
        <x:v>0</x:v>
      </x:c>
      <x:c r="D5" s="9" t="n">
        <x:f t="shared" ref="D5:D20" si="1">B5-C5-E5</x:f>
        <x:v>11</x:v>
      </x:c>
      <x:c r="E5" s="9" t="n">
        <x:f>COUNTIFS('Modules Progress'!$A$5:$A$104,$A5,'Modules Progress'!$O$5:$O$104,"Not Started")</x:f>
        <x:v>0</x:v>
      </x:c>
      <x:c r="F5" s="13" t="n">
        <x:f>IFERROR(AVERAGEIF('Modules Progress'!$A:$A,$A5,'Modules Progress'!$N:$N),0)</x:f>
        <x:v>0.929818181818182</x:v>
      </x:c>
      <x:c r="G5" s="9" t="str">
        <x:f t="shared" ref="G5:G20" si="2">IF(F5&gt;=1,"✅",IF(F5&gt;=0.71,"🟢",IF(F5&gt;=0.31,"🟡","🔴")))</x:f>
        <x:v>🟢</x:v>
      </x:c>
    </x:row>
    <x:row r="6">
      <x:c r="A6" s="9" t="str">
        <x:f>'Project Info'!A6</x:f>
        <x:v>POS/Inventory</x:v>
      </x:c>
      <x:c r="B6" s="9" t="n">
        <x:f>COUNTIF('Modules Progress'!$A:$A,$A6)</x:f>
        <x:v>9</x:v>
      </x:c>
      <x:c r="C6" s="9" t="n">
        <x:f>COUNTIFS('Modules Progress'!$A$5:$A$104,$A6,'Modules Progress'!$O$5:$O$104,"Completed")</x:f>
        <x:v>0</x:v>
      </x:c>
      <x:c r="D6" s="9">
        <x:f t="shared" si="1"/>
        <x:v>9</x:v>
      </x:c>
      <x:c r="E6" s="9" t="n">
        <x:f>COUNTIFS('Modules Progress'!$A$5:$A$104,$A6,'Modules Progress'!$O$5:$O$104,"Not Started")</x:f>
        <x:v>0</x:v>
      </x:c>
      <x:c r="F6" s="13" t="n">
        <x:f>IFERROR(AVERAGEIF('Modules Progress'!$A:$A,$A6,'Modules Progress'!$N:$N),0)</x:f>
        <x:v>0.6422222222222224</x:v>
      </x:c>
      <x:c r="G6" s="9" t="str">
        <x:f t="shared" si="2"/>
        <x:v>🟡</x:v>
      </x:c>
    </x:row>
    <x:row r="7">
      <x:c r="A7" s="9" t="str">
        <x:f>'Project Info'!A7</x:f>
        <x:v>E-Commerce</x:v>
      </x:c>
      <x:c r="B7" s="9" t="n">
        <x:f>COUNTIF('Modules Progress'!$A:$A,$A7)</x:f>
        <x:v>7</x:v>
      </x:c>
      <x:c r="C7" s="9" t="n">
        <x:f>COUNTIFS('Modules Progress'!$A$5:$A$104,$A7,'Modules Progress'!$O$5:$O$104,"Completed")</x:f>
        <x:v>0</x:v>
      </x:c>
      <x:c r="D7" s="9">
        <x:f t="shared" si="1"/>
        <x:v>7</x:v>
      </x:c>
      <x:c r="E7" s="9" t="n">
        <x:f>COUNTIFS('Modules Progress'!$A$5:$A$104,$A7,'Modules Progress'!$O$5:$O$104,"Not Started")</x:f>
        <x:v>0</x:v>
      </x:c>
      <x:c r="F7" s="13" t="n">
        <x:f>IFERROR(AVERAGEIF('Modules Progress'!$A:$A,$A7,'Modules Progress'!$N:$N),0)</x:f>
        <x:v>0.8014285714285716</x:v>
      </x:c>
      <x:c r="G7" s="9" t="str">
        <x:f t="shared" si="2"/>
        <x:v>🟡</x:v>
      </x:c>
    </x:row>
    <x:row r="8">
      <x:c r="A8" s="9" t="str">
        <x:f>'Project Info'!A8</x:f>
        <x:v>Pautang PC (upcoming)</x:v>
      </x:c>
      <x:c r="B8" s="9" t="n">
        <x:f>COUNTIF('Modules Progress'!$A:$A,$A8)</x:f>
        <x:v>6</x:v>
      </x:c>
      <x:c r="C8" s="9" t="n">
        <x:f>COUNTIFS('Modules Progress'!$A$5:$A$104,$A8,'Modules Progress'!$O$5:$O$104,"Completed")</x:f>
        <x:v>0</x:v>
      </x:c>
      <x:c r="D8" s="9">
        <x:f t="shared" si="1"/>
        <x:v>6</x:v>
      </x:c>
      <x:c r="E8" s="9" t="n">
        <x:f>COUNTIFS('Modules Progress'!$A$5:$A$104,$A8,'Modules Progress'!$O$5:$O$104,"Not Started")</x:f>
        <x:v>0</x:v>
      </x:c>
      <x:c r="F8" s="13" t="n">
        <x:f>IFERROR(AVERAGEIF('Modules Progress'!$A:$A,$A8,'Modules Progress'!$N:$N),0)</x:f>
        <x:v>0.7583333333333334</x:v>
      </x:c>
      <x:c r="G8" s="9" t="str">
        <x:f t="shared" si="2"/>
        <x:v>🟢</x:v>
      </x:c>
    </x:row>
    <x:row r="9">
      <x:c r="A9" s="9" t="str">
        <x:f>'Project Info'!A9</x:f>
        <x:v>LoanStar System</x:v>
      </x:c>
      <x:c r="B9" s="9" t="n">
        <x:f>COUNTIF('Modules Progress'!$A:$A,$A9)</x:f>
        <x:v>11</x:v>
      </x:c>
      <x:c r="C9" s="9" t="n">
        <x:f>COUNTIFS('Modules Progress'!$A$5:$A$104,$A9,'Modules Progress'!$O$5:$O$104,"Completed")</x:f>
        <x:v>0</x:v>
      </x:c>
      <x:c r="D9" s="9">
        <x:f t="shared" si="1"/>
        <x:v>11</x:v>
      </x:c>
      <x:c r="E9" s="9" t="n">
        <x:f>COUNTIFS('Modules Progress'!$A$5:$A$104,$A9,'Modules Progress'!$O$5:$O$104,"Not Started")</x:f>
        <x:v>0</x:v>
      </x:c>
      <x:c r="F9" s="13" t="n">
        <x:f>IFERROR(AVERAGEIF('Modules Progress'!$A:$A,$A9,'Modules Progress'!$N:$N),0)</x:f>
        <x:v>0.7202727272727273</x:v>
      </x:c>
      <x:c r="G9" s="9" t="str">
        <x:f t="shared" si="2"/>
        <x:v>🟡</x:v>
      </x:c>
    </x:row>
    <x:row r="10">
      <x:c r="A10" s="9" t="str">
        <x:f>'Project Info'!A10</x:f>
        <x:v>Fortune Procurement System</x:v>
      </x:c>
      <x:c r="B10" s="9" t="n">
        <x:f>COUNTIF('Modules Progress'!$A:$A,$A10)</x:f>
        <x:v>13</x:v>
      </x:c>
      <x:c r="C10" s="9" t="n">
        <x:f>COUNTIFS('Modules Progress'!$A$5:$A$104,$A10,'Modules Progress'!$O$5:$O$104,"Completed")</x:f>
        <x:v>0</x:v>
      </x:c>
      <x:c r="D10" s="9">
        <x:f t="shared" si="1"/>
        <x:v>13</x:v>
      </x:c>
      <x:c r="E10" s="9" t="n">
        <x:f>COUNTIFS('Modules Progress'!$A$5:$A$104,$A10,'Modules Progress'!$O$5:$O$104,"Not Started")</x:f>
        <x:v>0</x:v>
      </x:c>
      <x:c r="F10" s="13" t="n">
        <x:f>IFERROR(AVERAGEIF('Modules Progress'!$A:$A,$A10,'Modules Progress'!$N:$N),0)</x:f>
        <x:v>0.9423076923076923</x:v>
      </x:c>
      <x:c r="G10" s="9" t="str">
        <x:f t="shared" si="2"/>
        <x:v>🟢</x:v>
      </x:c>
    </x:row>
    <x:row r="11">
      <x:c r="A11" s="9" t="str">
        <x:f>'Project Info'!A11</x:f>
        <x:v>Eventuz</x:v>
      </x:c>
      <x:c r="B11" s="9" t="n">
        <x:f>COUNTIF('Modules Progress'!$A:$A,$A11)</x:f>
        <x:v>8</x:v>
      </x:c>
      <x:c r="C11" s="9" t="n">
        <x:f>COUNTIFS('Modules Progress'!$A$5:$A$104,$A11,'Modules Progress'!$O$5:$O$104,"Completed")</x:f>
        <x:v>8</x:v>
      </x:c>
      <x:c r="D11" s="9">
        <x:f t="shared" si="1"/>
        <x:v>0</x:v>
      </x:c>
      <x:c r="E11" s="9" t="n">
        <x:f>COUNTIFS('Modules Progress'!$A$5:$A$104,$A11,'Modules Progress'!$O$5:$O$104,"Not Started")</x:f>
        <x:v>0</x:v>
      </x:c>
      <x:c r="F11" s="13" t="n">
        <x:f>IFERROR(AVERAGEIF('Modules Progress'!$A:$A,$A11,'Modules Progress'!$N:$N),0)</x:f>
        <x:v>0.8528749999999999</x:v>
      </x:c>
      <x:c r="G11" s="9" t="str">
        <x:f t="shared" si="2"/>
        <x:v>✅</x:v>
      </x:c>
    </x:row>
    <x:row r="12">
      <x:c r="A12" s="9" t="str">
        <x:f>'Project Info'!A12</x:f>
        <x:v>Cleanse&amp;Drip</x:v>
      </x:c>
      <x:c r="B12" s="9" t="n">
        <x:f>COUNTIF('Modules Progress'!$A:$A,$A12)</x:f>
        <x:v>6</x:v>
      </x:c>
      <x:c r="C12" s="9" t="n">
        <x:f>COUNTIFS('Modules Progress'!$A$5:$A$104,$A12,'Modules Progress'!$O$5:$O$104,"Completed")</x:f>
        <x:v>0</x:v>
      </x:c>
      <x:c r="D12" s="9">
        <x:f t="shared" si="1"/>
        <x:v>6</x:v>
      </x:c>
      <x:c r="E12" s="9" t="n">
        <x:f>COUNTIFS('Modules Progress'!$A$5:$A$104,$A12,'Modules Progress'!$O$5:$O$104,"Not Started")</x:f>
        <x:v>0</x:v>
      </x:c>
      <x:c r="F12" s="13" t="n">
        <x:f>IFERROR(AVERAGEIF('Modules Progress'!$A:$A,$A12,'Modules Progress'!$N:$N),0)</x:f>
        <x:v>0.9416666666666668</x:v>
      </x:c>
      <x:c r="G12" s="9" t="str">
        <x:f t="shared" si="2"/>
        <x:v>🟢</x:v>
      </x:c>
    </x:row>
    <x:row r="13">
      <x:c r="A13" s="9" t="str">
        <x:f>'Project Info'!A17</x:f>
        <x:v>StepUp</x:v>
      </x:c>
      <x:c r="B13" s="9" t="n">
        <x:f>COUNTIF('Modules Progress'!$A:$A,$A13)</x:f>
        <x:v>8</x:v>
      </x:c>
      <x:c r="C13" s="9" t="n">
        <x:f>COUNTIFS('Modules Progress'!$A$5:$A$104,$A13,'Modules Progress'!$O$5:$O$104,"Completed")</x:f>
        <x:v>8</x:v>
      </x:c>
      <x:c r="D13" s="9">
        <x:f t="shared" si="1"/>
        <x:v>0</x:v>
      </x:c>
      <x:c r="E13" s="9" t="n">
        <x:f>COUNTIFS('Modules Progress'!$A$5:$A$104,$A13,'Modules Progress'!$O$5:$O$104,"Not Started")</x:f>
        <x:v>0</x:v>
      </x:c>
      <x:c r="F13" s="13" t="n">
        <x:f>IFERROR(AVERAGEIF('Modules Progress'!$A:$A,$A13,'Modules Progress'!$N:$N),0)</x:f>
        <x:v>1</x:v>
      </x:c>
      <x:c r="G13" s="9" t="str">
        <x:f t="shared" si="2"/>
        <x:v>✅</x:v>
      </x:c>
    </x:row>
    <x:row r="14">
      <x:c r="A14" s="9" t="str">
        <x:f>'Project Info'!A18</x:f>
        <x:v>Ayos</x:v>
      </x:c>
      <x:c r="B14" s="9" t="n">
        <x:f>COUNTIF('Modules Progress'!$A:$A,$A14)</x:f>
        <x:v>0</x:v>
      </x:c>
      <x:c r="C14" s="9" t="n">
        <x:f>COUNTIFS('Modules Progress'!$A$5:$A$104,$A14,'Modules Progress'!$O$5:$O$104,"Completed")</x:f>
        <x:v>0</x:v>
      </x:c>
      <x:c r="D14" s="9">
        <x:f t="shared" si="1"/>
        <x:v>0</x:v>
      </x:c>
      <x:c r="E14" s="9" t="n">
        <x:f>COUNTIFS('Modules Progress'!$A$5:$A$104,$A14,'Modules Progress'!$O$5:$O$104,"Not Started")</x:f>
        <x:v>0</x:v>
      </x:c>
      <x:c r="F14" s="13" t="n">
        <x:f>IFERROR(AVERAGEIF('Modules Progress'!$A:$A,$A14,'Modules Progress'!$N:$N),0)</x:f>
        <x:v>0</x:v>
      </x:c>
      <x:c r="G14" s="9" t="str">
        <x:f t="shared" si="2"/>
        <x:v>🔴</x:v>
      </x:c>
    </x:row>
    <x:row r="15">
      <x:c r="A15" s="9" t="str">
        <x:f>'Project Info'!A19</x:f>
        <x:v>Maintenance</x:v>
      </x:c>
      <x:c r="B15" s="9" t="n">
        <x:f>COUNTIF('Modules Progress'!$A:$A,$A15)</x:f>
        <x:v>0</x:v>
      </x:c>
      <x:c r="C15" s="9" t="n">
        <x:f>COUNTIFS('Modules Progress'!$A$5:$A$104,$A15,'Modules Progress'!$O$5:$O$104,"Completed")</x:f>
        <x:v>0</x:v>
      </x:c>
      <x:c r="D15" s="9">
        <x:f t="shared" si="1"/>
        <x:v>0</x:v>
      </x:c>
      <x:c r="E15" s="9" t="n">
        <x:f>COUNTIFS('Modules Progress'!$A$5:$A$104,$A15,'Modules Progress'!$O$5:$O$104,"Not Started")</x:f>
        <x:v>0</x:v>
      </x:c>
      <x:c r="F15" s="13" t="n">
        <x:f>IFERROR(AVERAGEIF('Modules Progress'!$A:$A,$A15,'Modules Progress'!$N:$N),0)</x:f>
        <x:v>0</x:v>
      </x:c>
      <x:c r="G15" s="9" t="str">
        <x:f t="shared" si="2"/>
        <x:v>🔴</x:v>
      </x:c>
    </x:row>
    <x:row r="16">
      <x:c r="A16" s="9" t="str">
        <x:f>'Project Info'!A20</x:f>
        <x:v>LMS</x:v>
      </x:c>
      <x:c r="B16" s="9" t="n">
        <x:f>COUNTIF('Modules Progress'!$A:$A,$A16)</x:f>
        <x:v>0</x:v>
      </x:c>
      <x:c r="C16" s="9" t="n">
        <x:f>COUNTIFS('Modules Progress'!$A$5:$A$104,$A16,'Modules Progress'!$O$5:$O$104,"Completed")</x:f>
        <x:v>0</x:v>
      </x:c>
      <x:c r="D16" s="9">
        <x:f t="shared" si="1"/>
        <x:v>0</x:v>
      </x:c>
      <x:c r="E16" s="9" t="n">
        <x:f>COUNTIFS('Modules Progress'!$A$5:$A$104,$A16,'Modules Progress'!$O$5:$O$104,"Not Started")</x:f>
        <x:v>0</x:v>
      </x:c>
      <x:c r="F16" s="13" t="n">
        <x:f>IFERROR(AVERAGEIF('Modules Progress'!$A:$A,$A16,'Modules Progress'!$N:$N),0)</x:f>
        <x:v>0</x:v>
      </x:c>
      <x:c r="G16" s="9" t="str">
        <x:f t="shared" si="2"/>
        <x:v>🔴</x:v>
      </x:c>
    </x:row>
    <x:row r="17">
      <x:c r="A17" s="9" t="str">
        <x:f>'Project Info'!A21</x:f>
        <x:v>POS</x:v>
      </x:c>
      <x:c r="B17" s="9" t="n">
        <x:f>COUNTIF('Modules Progress'!$A:$A,$A17)</x:f>
        <x:v>0</x:v>
      </x:c>
      <x:c r="C17" s="9" t="n">
        <x:f>COUNTIFS('Modules Progress'!$A$5:$A$104,$A17,'Modules Progress'!$O$5:$O$104,"Completed")</x:f>
        <x:v>0</x:v>
      </x:c>
      <x:c r="D17" s="9">
        <x:f t="shared" si="1"/>
        <x:v>0</x:v>
      </x:c>
      <x:c r="E17" s="9" t="n">
        <x:f>COUNTIFS('Modules Progress'!$A$5:$A$104,$A17,'Modules Progress'!$O$5:$O$104,"Not Started")</x:f>
        <x:v>0</x:v>
      </x:c>
      <x:c r="F17" s="13" t="n">
        <x:f>IFERROR(AVERAGEIF('Modules Progress'!$A:$A,$A17,'Modules Progress'!$N:$N),0)</x:f>
        <x:v>0</x:v>
      </x:c>
      <x:c r="G17" s="9" t="str">
        <x:f t="shared" si="2"/>
        <x:v>🔴</x:v>
      </x:c>
    </x:row>
    <x:row r="18">
      <x:c r="A18" s="9" t="str">
        <x:f>'Project Info'!A22</x:f>
        <x:v>Pelvic enhancement</x:v>
      </x:c>
      <x:c r="B18" s="9" t="n">
        <x:f>COUNTIF('Modules Progress'!$A:$A,$A18)</x:f>
        <x:v>1</x:v>
      </x:c>
      <x:c r="C18" s="9" t="n">
        <x:f>COUNTIFS('Modules Progress'!$A$5:$A$104,$A18,'Modules Progress'!$O$5:$O$104,"Completed")</x:f>
        <x:v>1</x:v>
      </x:c>
      <x:c r="D18" s="9">
        <x:f t="shared" si="1"/>
        <x:v>0</x:v>
      </x:c>
      <x:c r="E18" s="9" t="n">
        <x:f>COUNTIFS('Modules Progress'!$A$5:$A$104,$A18,'Modules Progress'!$O$5:$O$104,"Not Started")</x:f>
        <x:v>0</x:v>
      </x:c>
      <x:c r="F18" s="13" t="n">
        <x:f>IFERROR(AVERAGEIF('Modules Progress'!$A:$A,$A18,'Modules Progress'!$N:$N),0)</x:f>
        <x:v>0</x:v>
      </x:c>
      <x:c r="G18" s="9" t="str">
        <x:f t="shared" si="2"/>
        <x:v>✅</x:v>
      </x:c>
    </x:row>
    <x:row r="19">
      <x:c r="A19" s="9" t="str">
        <x:f>'Project Info'!A24</x:f>
        <x:v>Opportunities</x:v>
      </x:c>
      <x:c r="B19" s="9" t="n">
        <x:f>COUNTIF('Modules Progress'!$A:$A,$A19)</x:f>
        <x:v>0</x:v>
      </x:c>
      <x:c r="C19" s="9" t="n">
        <x:f>COUNTIFS('Modules Progress'!$A$5:$A$104,$A19,'Modules Progress'!$O$5:$O$104,"Completed")</x:f>
        <x:v>0</x:v>
      </x:c>
      <x:c r="D19" s="9">
        <x:f t="shared" si="1"/>
        <x:v>0</x:v>
      </x:c>
      <x:c r="E19" s="9" t="n">
        <x:f>COUNTIFS('Modules Progress'!$A$5:$A$104,$A19,'Modules Progress'!$O$5:$O$104,"Not Started")</x:f>
        <x:v>0</x:v>
      </x:c>
      <x:c r="F19" s="13" t="n">
        <x:f>IFERROR(AVERAGEIF('Modules Progress'!$A:$A,$A19,'Modules Progress'!$N:$N),0)</x:f>
        <x:v>0</x:v>
      </x:c>
      <x:c r="G19" s="9" t="str">
        <x:f t="shared" si="2"/>
        <x:v>🔴</x:v>
      </x:c>
    </x:row>
    <x:row r="20">
      <x:c r="A20" s="9" t="str">
        <x:f>'Project Info'!A25</x:f>
        <x:v>LMS for startuplab</x:v>
      </x:c>
      <x:c r="B20" s="9" t="n">
        <x:f>COUNTIF('Modules Progress'!$A:$A,$A20)</x:f>
        <x:v>0</x:v>
      </x:c>
      <x:c r="C20" s="9" t="n">
        <x:f>COUNTIFS('Modules Progress'!$A$5:$A$104,$A20,'Modules Progress'!$O$5:$O$104,"Completed")</x:f>
        <x:v>0</x:v>
      </x:c>
      <x:c r="D20" s="9">
        <x:f t="shared" si="1"/>
        <x:v>0</x:v>
      </x:c>
      <x:c r="E20" s="9" t="n">
        <x:f>COUNTIFS('Modules Progress'!$A$5:$A$104,$A20,'Modules Progress'!$O$5:$O$104,"Not Started")</x:f>
        <x:v>0</x:v>
      </x:c>
      <x:c r="F20" s="13" t="n">
        <x:f>IFERROR(AVERAGEIF('Modules Progress'!$A:$A,$A20,'Modules Progress'!$N:$N),0)</x:f>
        <x:v>0</x:v>
      </x:c>
      <x:c r="G20" s="9" t="str">
        <x:f t="shared" si="2"/>
        <x:v>🔴</x:v>
      </x:c>
    </x:row>
    <x:row r="21" ht="18" customHeight="1">
      <x:c r="A21" s="6"/>
      <x:c r="B21" s="3"/>
      <x:c r="C21" s="3"/>
      <x:c r="D21" s="3"/>
      <x:c r="E21" s="3"/>
      <x:c r="F21" s="3"/>
      <x:c r="G21" s="3"/>
    </x:row>
    <x:row r="22" ht="18" customHeight="1">
      <x:c r="A22" s="18" t="s">
        <x:v>51</x:v>
      </x:c>
      <x:c r="B22" s="3" t="s">
        <x:v>168</x:v>
      </x:c>
    </x:row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</x:sheetData>
  <x:mergeCells>
    <x:mergeCell ref="A1:G1"/>
    <x:mergeCell ref="A2:G2"/>
    <x:mergeCell ref="B22:G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30" customWidth="1"/>
    <x:col min="2" max="2" width="10" customWidth="1"/>
    <x:col min="3" max="26" width="8.710000038146973" customWidth="1"/>
  </x:cols>
  <x:sheetData>
    <x:row r="1" ht="21.75" customHeight="1">
      <x:c r="A1" s="2" t="s">
        <x:v>169</x:v>
      </x:c>
    </x:row>
    <x:row r="2" ht="21.75" customHeight="1">
      <x:c r="A2" s="3" t="s">
        <x:v>170</x:v>
      </x:c>
    </x:row>
    <x:row r="4">
      <x:c r="A4" s="4" t="s">
        <x:v>171</x:v>
      </x:c>
      <x:c r="B4" s="4" t="s">
        <x:v>172</x:v>
      </x:c>
    </x:row>
    <x:row r="5">
      <x:c r="A5" s="14" t="s">
        <x:v>173</x:v>
      </x:c>
      <x:c r="B5" s="10">
        <x:v>0.05</x:v>
      </x:c>
    </x:row>
    <x:row r="6">
      <x:c r="A6" s="14" t="s">
        <x:v>174</x:v>
      </x:c>
      <x:c r="B6" s="10">
        <x:v>0.1</x:v>
      </x:c>
    </x:row>
    <x:row r="7">
      <x:c r="A7" s="14" t="s">
        <x:v>68</x:v>
      </x:c>
      <x:c r="B7" s="10">
        <x:v>0.1</x:v>
      </x:c>
    </x:row>
    <x:row r="8">
      <x:c r="A8" s="14" t="s">
        <x:v>69</x:v>
      </x:c>
      <x:c r="B8" s="10">
        <x:v>0.4</x:v>
      </x:c>
    </x:row>
    <x:row r="9">
      <x:c r="A9" s="14" t="s">
        <x:v>70</x:v>
      </x:c>
      <x:c r="B9" s="10">
        <x:v>0.1</x:v>
      </x:c>
    </x:row>
    <x:row r="10">
      <x:c r="A10" s="14" t="s">
        <x:v>71</x:v>
      </x:c>
      <x:c r="B10" s="10">
        <x:v>0.1</x:v>
      </x:c>
    </x:row>
    <x:row r="11">
      <x:c r="A11" s="14" t="s">
        <x:v>175</x:v>
      </x:c>
      <x:c r="B11" s="10">
        <x:v>0.05</x:v>
      </x:c>
    </x:row>
    <x:row r="12">
      <x:c r="A12" s="14" t="s">
        <x:v>73</x:v>
      </x:c>
      <x:c r="B12" s="10">
        <x:v>0.05</x:v>
      </x:c>
    </x:row>
    <x:row r="13">
      <x:c r="A13" s="14" t="s">
        <x:v>74</x:v>
      </x:c>
      <x:c r="B13" s="10">
        <x:v>0.03</x:v>
      </x:c>
    </x:row>
    <x:row r="14">
      <x:c r="A14" s="14" t="s">
        <x:v>176</x:v>
      </x:c>
      <x:c r="B14" s="10">
        <x:v>0.02</x:v>
      </x:c>
    </x:row>
    <x:row r="15">
      <x:c r="A15" s="16" t="s">
        <x:v>177</x:v>
      </x:c>
      <x:c r="B15" s="17" t="n">
        <x:f>SUM(B5:B14)</x:f>
        <x:v>1</x:v>
      </x:c>
    </x:row>
    <x:row r="17" ht="18" customHeight="1">
      <x:c r="A17" s="18" t="s">
        <x:v>51</x:v>
      </x:c>
      <x:c r="B17" s="3" t="s">
        <x:v>178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B1"/>
    <x:mergeCell ref="A2:B2"/>
  </x:mergeCells>
  <x:conditionalFormatting sqref="B15:B15">
    <x:cfRule type="cellIs" dxfId="0" priority="1" operator="notEqual">
      <x:formula>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14.430000305175781" defaultRowHeight="15"/>
  <x:cols>
    <x:col min="1" max="1" width="44.43000030517578" customWidth="1"/>
    <x:col min="2" max="2" width="45.13999938964844" customWidth="1"/>
    <x:col min="3" max="26" width="8" customWidth="1"/>
    <x:col min="27" max="27" width="6.570000171661377" customWidth="1"/>
    <x:col min="28" max="29" width="6.429999828338623" customWidth="1"/>
    <x:col min="30" max="30" width="6.860000133514404" customWidth="1"/>
    <x:col min="31" max="34" width="8" customWidth="1"/>
    <x:col min="35" max="38" width="9" customWidth="1"/>
    <x:col min="39" max="55" width="8.710000038146973" customWidth="1"/>
  </x:cols>
  <x:sheetData>
    <x:row r="1" ht="15" customHeight="1">
      <x:c r="A1" s="3"/>
      <x:c r="B1" s="3" t="s">
        <x:v>179</x:v>
      </x:c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</x:row>
    <x:row r="3">
      <x:c r="A3" s="22" t="s">
        <x:v>63</x:v>
      </x:c>
      <x:c r="B3" s="4" t="s">
        <x:v>180</x:v>
      </x:c>
      <x:c r="C3" s="5" t="s">
        <x:v>181</x:v>
      </x:c>
      <x:c r="D3" s="5" t="s">
        <x:v>182</x:v>
      </x:c>
      <x:c r="E3" s="5" t="s">
        <x:v>183</x:v>
      </x:c>
      <x:c r="F3" s="5" t="s">
        <x:v>184</x:v>
      </x:c>
      <x:c r="G3" s="5" t="s">
        <x:v>185</x:v>
      </x:c>
      <x:c r="H3" s="5" t="s">
        <x:v>186</x:v>
      </x:c>
      <x:c r="I3" s="5" t="s">
        <x:v>187</x:v>
      </x:c>
      <x:c r="J3" s="5" t="s">
        <x:v>188</x:v>
      </x:c>
      <x:c r="K3" s="5" t="s">
        <x:v>189</x:v>
      </x:c>
      <x:c r="L3" s="5" t="s">
        <x:v>190</x:v>
      </x:c>
      <x:c r="M3" s="5" t="s">
        <x:v>191</x:v>
      </x:c>
      <x:c r="N3" s="5" t="s">
        <x:v>192</x:v>
      </x:c>
      <x:c r="O3" s="5" t="s">
        <x:v>193</x:v>
      </x:c>
      <x:c r="P3" s="5" t="s">
        <x:v>194</x:v>
      </x:c>
      <x:c r="Q3" s="5" t="s">
        <x:v>195</x:v>
      </x:c>
      <x:c r="R3" s="5" t="s">
        <x:v>196</x:v>
      </x:c>
      <x:c r="S3" s="5" t="s">
        <x:v>197</x:v>
      </x:c>
      <x:c r="T3" s="5" t="s">
        <x:v>198</x:v>
      </x:c>
      <x:c r="U3" s="5" t="s">
        <x:v>199</x:v>
      </x:c>
      <x:c r="V3" s="5" t="s">
        <x:v>200</x:v>
      </x:c>
      <x:c r="W3" s="5" t="s">
        <x:v>201</x:v>
      </x:c>
      <x:c r="X3" s="5" t="s">
        <x:v>202</x:v>
      </x:c>
      <x:c r="Y3" s="5" t="s">
        <x:v>203</x:v>
      </x:c>
      <x:c r="Z3" s="5" t="s">
        <x:v>204</x:v>
      </x:c>
      <x:c r="AA3" s="5" t="s">
        <x:v>205</x:v>
      </x:c>
      <x:c r="AB3" s="5" t="s">
        <x:v>206</x:v>
      </x:c>
      <x:c r="AC3" s="5" t="s">
        <x:v>207</x:v>
      </x:c>
      <x:c r="AD3" s="5" t="s">
        <x:v>208</x:v>
      </x:c>
      <x:c r="AE3" s="4" t="s">
        <x:v>209</x:v>
      </x:c>
      <x:c r="AF3" s="4" t="s">
        <x:v>210</x:v>
      </x:c>
      <x:c r="AG3" s="4" t="s">
        <x:v>211</x:v>
      </x:c>
      <x:c r="AH3" s="4" t="s">
        <x:v>212</x:v>
      </x:c>
      <x:c r="AI3" s="4" t="s">
        <x:v>213</x:v>
      </x:c>
      <x:c r="AJ3" s="4" t="s">
        <x:v>214</x:v>
      </x:c>
      <x:c r="AK3" s="4" t="s">
        <x:v>215</x:v>
      </x:c>
      <x:c r="AL3" s="4" t="s">
        <x:v>216</x:v>
      </x:c>
    </x:row>
    <x:row r="4">
      <x:c r="A4" s="6" t="s">
        <x:v>10</x:v>
      </x:c>
      <x:c r="B4" s="7" t="s">
        <x:v>174</x:v>
      </x:c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  <x:c r="AE4" s="25"/>
      <x:c r="AF4" s="25"/>
      <x:c r="AH4" s="23"/>
      <x:c r="AI4" s="23"/>
      <x:c r="AJ4" s="23"/>
      <x:c r="AK4" s="23"/>
      <x:c r="AL4" s="23"/>
    </x:row>
    <x:row r="5">
      <x:c r="A5" s="6" t="s">
        <x:v>10</x:v>
      </x:c>
      <x:c r="B5" s="7" t="s">
        <x:v>77</x:v>
      </x:c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6"/>
      <x:c r="AG5" s="25"/>
      <x:c r="AH5" s="25"/>
      <x:c r="AL5" s="23"/>
    </x:row>
    <x:row r="6">
      <x:c r="A6" s="6" t="s">
        <x:v>10</x:v>
      </x:c>
      <x:c r="B6" s="7" t="s">
        <x:v>79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G6" s="25"/>
      <x:c r="AH6" s="25"/>
      <x:c r="AL6" s="23"/>
    </x:row>
    <x:row r="7">
      <x:c r="A7" s="6" t="s">
        <x:v>10</x:v>
      </x:c>
      <x:c r="B7" s="7" t="s">
        <x:v>80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G7" s="25"/>
      <x:c r="AH7" s="25"/>
      <x:c r="AL7" s="23"/>
    </x:row>
    <x:row r="8">
      <x:c r="A8" s="6" t="s">
        <x:v>10</x:v>
      </x:c>
      <x:c r="B8" s="7" t="s">
        <x:v>81</x:v>
      </x:c>
      <x:c r="AG8" s="25"/>
      <x:c r="AH8" s="25"/>
    </x:row>
    <x:row r="9" ht="15" customHeight="1">
      <x:c r="A9" s="6" t="s">
        <x:v>10</x:v>
      </x:c>
      <x:c r="B9" s="7" t="s">
        <x:v>82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G9" s="25"/>
      <x:c r="AH9" s="25"/>
    </x:row>
    <x:row r="10">
      <x:c r="A10" s="6" t="s">
        <x:v>10</x:v>
      </x:c>
      <x:c r="B10" s="7" t="s">
        <x:v>83</x:v>
      </x:c>
      <x:c r="AI10" s="25"/>
    </x:row>
    <x:row r="11">
      <x:c r="A11" s="6" t="s">
        <x:v>10</x:v>
      </x:c>
      <x:c r="B11" s="7" t="s">
        <x:v>84</x:v>
      </x:c>
      <x:c r="AG11" s="25"/>
      <x:c r="AH11" s="25"/>
    </x:row>
    <x:row r="12">
      <x:c r="A12" s="6" t="s">
        <x:v>10</x:v>
      </x:c>
      <x:c r="B12" s="7" t="s">
        <x:v>85</x:v>
      </x:c>
      <x:c r="AI12" s="25"/>
    </x:row>
    <x:row r="13">
      <x:c r="A13" s="6" t="s">
        <x:v>10</x:v>
      </x:c>
      <x:c r="B13" s="7" t="s">
        <x:v>86</x:v>
      </x:c>
      <x:c r="AG13" s="25"/>
      <x:c r="AH13" s="25"/>
    </x:row>
    <x:row r="14">
      <x:c r="A14" s="6" t="s">
        <x:v>10</x:v>
      </x:c>
      <x:c r="B14" s="7" t="s">
        <x:v>87</x:v>
      </x:c>
      <x:c r="AJ14" s="25"/>
    </x:row>
    <x:row r="15">
      <x:c r="A15" s="6" t="s">
        <x:v>10</x:v>
      </x:c>
      <x:c r="B15" s="7" t="s">
        <x:v>70</x:v>
      </x:c>
      <x:c r="AK15" s="25"/>
    </x:row>
    <x:row r="16">
      <x:c r="A16" s="6" t="s">
        <x:v>10</x:v>
      </x:c>
      <x:c r="B16" s="7" t="s">
        <x:v>71</x:v>
      </x:c>
      <x:c r="AK16" s="25"/>
    </x:row>
    <x:row r="17">
      <x:c r="A17" s="6" t="s">
        <x:v>10</x:v>
      </x:c>
      <x:c r="B17" s="7" t="s">
        <x:v>72</x:v>
      </x:c>
      <x:c r="AK17" s="25"/>
      <x:c r="AL17" s="25"/>
    </x:row>
    <x:row r="18">
      <x:c r="A18" s="6" t="s">
        <x:v>10</x:v>
      </x:c>
      <x:c r="B18" s="7" t="s">
        <x:v>73</x:v>
      </x:c>
      <x:c r="AL18" s="25"/>
    </x:row>
    <x:row r="19">
      <x:c r="A19" s="6" t="s">
        <x:v>10</x:v>
      </x:c>
      <x:c r="B19" s="7" t="s">
        <x:v>74</x:v>
      </x:c>
      <x:c r="AI19" s="25"/>
      <x:c r="AJ19" s="25"/>
      <x:c r="AK19" s="25"/>
      <x:c r="AL19" s="25"/>
    </x:row>
    <x:row r="20">
      <x:c r="A20" s="6" t="s">
        <x:v>10</x:v>
      </x:c>
      <x:c r="B20" s="7" t="s">
        <x:v>217</x:v>
      </x:c>
      <x:c r="AL20" s="25"/>
    </x:row>
    <x:row r="21" ht="15.75" customHeight="1">
      <x:c r="A21" s="6" t="s">
        <x:v>14</x:v>
      </x:c>
      <x:c r="B21" s="7" t="s">
        <x:v>89</x:v>
      </x:c>
      <x:c r="AC21" s="26"/>
      <x:c r="AD21" s="27"/>
      <x:c r="AE21" s="28"/>
      <x:c r="AF21" s="28"/>
      <x:c r="AG21" s="28"/>
      <x:c r="AH21" s="28"/>
    </x:row>
    <x:row r="22" ht="15.75" customHeight="1">
      <x:c r="A22" s="6" t="s">
        <x:v>14</x:v>
      </x:c>
      <x:c r="B22" s="7" t="s">
        <x:v>90</x:v>
      </x:c>
      <x:c r="C22" s="1" t="s">
        <x:v>218</x:v>
      </x:c>
      <x:c r="AD22" s="27"/>
      <x:c r="AE22" s="27"/>
      <x:c r="AF22" s="28"/>
      <x:c r="AG22" s="28"/>
      <x:c r="AH22" s="28"/>
    </x:row>
    <x:row r="23" ht="15.75" customHeight="1">
      <x:c r="A23" s="6" t="s">
        <x:v>14</x:v>
      </x:c>
      <x:c r="B23" s="7" t="s">
        <x:v>91</x:v>
      </x:c>
      <x:c r="AD23" s="27"/>
      <x:c r="AE23" s="27"/>
      <x:c r="AF23" s="28"/>
      <x:c r="AG23" s="28"/>
      <x:c r="AH23" s="28"/>
    </x:row>
    <x:row r="24" ht="15.75" customHeight="1">
      <x:c r="A24" s="6" t="s">
        <x:v>14</x:v>
      </x:c>
      <x:c r="B24" s="7" t="s">
        <x:v>92</x:v>
      </x:c>
      <x:c r="AD24" s="26"/>
      <x:c r="AE24" s="26"/>
      <x:c r="AG24" s="28"/>
      <x:c r="AH24" s="28"/>
    </x:row>
    <x:row r="25" ht="15.75" customHeight="1">
      <x:c r="A25" s="6" t="s">
        <x:v>14</x:v>
      </x:c>
      <x:c r="B25" s="7" t="s">
        <x:v>93</x:v>
      </x:c>
      <x:c r="AD25" s="26"/>
      <x:c r="AE25" s="26"/>
      <x:c r="AG25" s="28"/>
      <x:c r="AH25" s="28"/>
    </x:row>
    <x:row r="26" ht="15.75" customHeight="1">
      <x:c r="A26" s="6" t="s">
        <x:v>14</x:v>
      </x:c>
      <x:c r="B26" s="7" t="s">
        <x:v>94</x:v>
      </x:c>
      <x:c r="AD26" s="26"/>
      <x:c r="AE26" s="26"/>
      <x:c r="AG26" s="28"/>
      <x:c r="AH26" s="28"/>
    </x:row>
    <x:row r="27" ht="15.75" customHeight="1">
      <x:c r="A27" s="6" t="s">
        <x:v>14</x:v>
      </x:c>
      <x:c r="B27" s="7" t="s">
        <x:v>95</x:v>
      </x:c>
      <x:c r="AD27" s="26"/>
      <x:c r="AE27" s="26"/>
      <x:c r="AG27" s="28"/>
      <x:c r="AH27" s="28"/>
    </x:row>
    <x:row r="28" ht="15.75" customHeight="1">
      <x:c r="A28" s="6" t="s">
        <x:v>14</x:v>
      </x:c>
      <x:c r="B28" s="7" t="s">
        <x:v>96</x:v>
      </x:c>
      <x:c r="AD28" s="26"/>
      <x:c r="AE28" s="26"/>
      <x:c r="AG28" s="28"/>
      <x:c r="AH28" s="28"/>
    </x:row>
    <x:row r="29" ht="15.75" customHeight="1">
      <x:c r="A29" s="6" t="s">
        <x:v>14</x:v>
      </x:c>
      <x:c r="B29" s="7" t="s">
        <x:v>97</x:v>
      </x:c>
      <x:c r="AD29" s="26"/>
      <x:c r="AE29" s="26"/>
      <x:c r="AF29" s="26"/>
      <x:c r="AG29" s="25"/>
      <x:c r="AH29" s="25"/>
    </x:row>
    <x:row r="30" ht="15.75" customHeight="1">
      <x:c r="A30" s="6" t="s">
        <x:v>14</x:v>
      </x:c>
      <x:c r="B30" s="7" t="s">
        <x:v>70</x:v>
      </x:c>
      <x:c r="AI30" s="25"/>
    </x:row>
    <x:row r="31" ht="15.75" customHeight="1">
      <x:c r="A31" s="6" t="s">
        <x:v>14</x:v>
      </x:c>
      <x:c r="B31" s="7" t="s">
        <x:v>71</x:v>
      </x:c>
      <x:c r="AI31" s="25"/>
      <x:c r="AJ31" s="25"/>
    </x:row>
    <x:row r="32" ht="15.75" customHeight="1">
      <x:c r="A32" s="6" t="s">
        <x:v>14</x:v>
      </x:c>
      <x:c r="B32" s="7" t="s">
        <x:v>219</x:v>
      </x:c>
      <x:c r="AH32" s="29"/>
      <x:c r="AK32" s="26"/>
      <x:c r="AP32" s="1" t="s">
        <x:v>220</x:v>
      </x:c>
    </x:row>
    <x:row r="33" ht="15.75" customHeight="1">
      <x:c r="A33" s="6" t="s">
        <x:v>14</x:v>
      </x:c>
      <x:c r="B33" s="7" t="s">
        <x:v>73</x:v>
      </x:c>
      <x:c r="AH33" s="29"/>
      <x:c r="AK33" s="26"/>
    </x:row>
    <x:row r="34" ht="15.75" customHeight="1">
      <x:c r="A34" s="6" t="s">
        <x:v>14</x:v>
      </x:c>
      <x:c r="B34" s="7" t="s">
        <x:v>74</x:v>
      </x:c>
      <x:c r="AL34" s="25"/>
    </x:row>
    <x:row r="35" ht="15.75" customHeight="1">
      <x:c r="A35" s="6" t="s">
        <x:v>14</x:v>
      </x:c>
      <x:c r="B35" s="7" t="s">
        <x:v>217</x:v>
      </x:c>
      <x:c r="AL35" s="30" t="s">
        <x:v>221</x:v>
      </x:c>
    </x:row>
    <x:row r="36" ht="15.75" customHeight="1">
      <x:c r="A36" s="6" t="s">
        <x:v>18</x:v>
      </x:c>
      <x:c r="B36" s="7" t="s">
        <x:v>174</x:v>
      </x:c>
      <x:c r="AG36" s="31"/>
      <x:c r="AH36" s="31"/>
    </x:row>
    <x:row r="37" ht="15.75" customHeight="1">
      <x:c r="A37" s="6" t="s">
        <x:v>18</x:v>
      </x:c>
      <x:c r="B37" s="7"/>
      <x:c r="AF37" s="26"/>
      <x:c r="AG37" s="31"/>
      <x:c r="AH37" s="31"/>
    </x:row>
    <x:row r="38" ht="15.75" customHeight="1">
      <x:c r="A38" s="6" t="s">
        <x:v>18</x:v>
      </x:c>
      <x:c r="B38" s="7"/>
      <x:c r="AG38" s="31"/>
      <x:c r="AH38" s="31"/>
    </x:row>
    <x:row r="39" ht="15.75" customHeight="1">
      <x:c r="A39" s="6" t="s">
        <x:v>18</x:v>
      </x:c>
      <x:c r="B39" s="7"/>
      <x:c r="AG39" s="31"/>
      <x:c r="AH39" s="31"/>
    </x:row>
    <x:row r="40" ht="15.75" customHeight="1">
      <x:c r="A40" s="6" t="s">
        <x:v>18</x:v>
      </x:c>
      <x:c r="B40" s="7"/>
      <x:c r="AG40" s="31"/>
      <x:c r="AH40" s="31"/>
    </x:row>
    <x:row r="41" ht="15.75" customHeight="1">
      <x:c r="A41" s="6" t="s">
        <x:v>18</x:v>
      </x:c>
      <x:c r="B41" s="7"/>
      <x:c r="AG41" s="31"/>
      <x:c r="AH41" s="31"/>
    </x:row>
    <x:row r="42" ht="15.75" customHeight="1">
      <x:c r="A42" s="6" t="s">
        <x:v>18</x:v>
      </x:c>
      <x:c r="B42" s="7" t="s">
        <x:v>70</x:v>
      </x:c>
      <x:c r="AG42" s="31"/>
      <x:c r="AH42" s="31"/>
    </x:row>
    <x:row r="43" ht="15.75" customHeight="1">
      <x:c r="A43" s="6" t="s">
        <x:v>18</x:v>
      </x:c>
      <x:c r="B43" s="7" t="s">
        <x:v>71</x:v>
      </x:c>
      <x:c r="AG43" s="31"/>
      <x:c r="AH43" s="31"/>
    </x:row>
    <x:row r="44" ht="15.75" customHeight="1">
      <x:c r="A44" s="6" t="s">
        <x:v>18</x:v>
      </x:c>
      <x:c r="B44" s="7" t="s">
        <x:v>219</x:v>
      </x:c>
      <x:c r="AG44" s="31"/>
      <x:c r="AH44" s="31"/>
    </x:row>
    <x:row r="45" ht="15.75" customHeight="1">
      <x:c r="A45" s="6" t="s">
        <x:v>18</x:v>
      </x:c>
      <x:c r="B45" s="7" t="s">
        <x:v>73</x:v>
      </x:c>
      <x:c r="AG45" s="31"/>
      <x:c r="AH45" s="31"/>
    </x:row>
    <x:row r="46" ht="15.75" customHeight="1">
      <x:c r="A46" s="6" t="s">
        <x:v>18</x:v>
      </x:c>
      <x:c r="B46" s="7" t="s">
        <x:v>74</x:v>
      </x:c>
      <x:c r="AG46" s="31"/>
      <x:c r="AH46" s="31"/>
    </x:row>
    <x:row r="47" ht="15.75" customHeight="1">
      <x:c r="A47" s="6" t="s">
        <x:v>18</x:v>
      </x:c>
      <x:c r="B47" s="7" t="s">
        <x:v>217</x:v>
      </x:c>
      <x:c r="AG47" s="31"/>
      <x:c r="AH47" s="31"/>
    </x:row>
    <x:row r="48" ht="15.75" customHeight="1">
      <x:c r="A48" s="6" t="s">
        <x:v>17</x:v>
      </x:c>
      <x:c r="B48" s="7" t="s">
        <x:v>104</x:v>
      </x:c>
      <x:c r="AD48" s="31"/>
      <x:c r="AE48" s="31"/>
      <x:c r="AF48" s="31"/>
      <x:c r="AG48" s="31"/>
    </x:row>
    <x:row r="49" ht="15.75" customHeight="1">
      <x:c r="A49" s="6" t="s">
        <x:v>17</x:v>
      </x:c>
      <x:c r="B49" s="7" t="s">
        <x:v>105</x:v>
      </x:c>
      <x:c r="AD49" s="31"/>
      <x:c r="AE49" s="31"/>
      <x:c r="AF49" s="31"/>
      <x:c r="AG49" s="31"/>
    </x:row>
    <x:row r="50" ht="15.75" customHeight="1">
      <x:c r="A50" s="6" t="s">
        <x:v>17</x:v>
      </x:c>
      <x:c r="B50" s="7" t="s">
        <x:v>106</x:v>
      </x:c>
      <x:c r="AD50" s="31"/>
      <x:c r="AE50" s="31"/>
      <x:c r="AF50" s="31"/>
      <x:c r="AG50" s="31"/>
    </x:row>
    <x:row r="51" ht="15.75" customHeight="1">
      <x:c r="A51" s="6" t="s">
        <x:v>17</x:v>
      </x:c>
      <x:c r="B51" s="7" t="s">
        <x:v>107</x:v>
      </x:c>
      <x:c r="AD51" s="31"/>
      <x:c r="AE51" s="31"/>
      <x:c r="AF51" s="31"/>
      <x:c r="AG51" s="31"/>
    </x:row>
    <x:row r="52" ht="15.75" customHeight="1">
      <x:c r="A52" s="6" t="s">
        <x:v>17</x:v>
      </x:c>
      <x:c r="B52" s="7" t="s">
        <x:v>108</x:v>
      </x:c>
      <x:c r="AD52" s="31"/>
      <x:c r="AE52" s="31"/>
      <x:c r="AF52" s="31"/>
      <x:c r="AG52" s="31"/>
    </x:row>
    <x:row r="53" ht="15.75" customHeight="1">
      <x:c r="A53" s="6" t="s">
        <x:v>17</x:v>
      </x:c>
      <x:c r="B53" s="7" t="s">
        <x:v>109</x:v>
      </x:c>
      <x:c r="AD53" s="31"/>
      <x:c r="AE53" s="31"/>
      <x:c r="AF53" s="31"/>
      <x:c r="AG53" s="31"/>
    </x:row>
    <x:row r="54" ht="15.75" customHeight="1">
      <x:c r="A54" s="6" t="s">
        <x:v>17</x:v>
      </x:c>
      <x:c r="B54" s="7" t="s">
        <x:v>110</x:v>
      </x:c>
      <x:c r="AD54" s="31"/>
      <x:c r="AE54" s="31"/>
      <x:c r="AF54" s="31"/>
      <x:c r="AG54" s="31"/>
    </x:row>
    <x:row r="55" ht="15.75" customHeight="1">
      <x:c r="A55" s="6" t="s">
        <x:v>17</x:v>
      </x:c>
      <x:c r="B55" s="7" t="s">
        <x:v>70</x:v>
      </x:c>
      <x:c r="AD55" s="31"/>
      <x:c r="AE55" s="31"/>
      <x:c r="AF55" s="31"/>
      <x:c r="AG55" s="31"/>
    </x:row>
    <x:row r="56" ht="15.75" customHeight="1">
      <x:c r="A56" s="6" t="s">
        <x:v>17</x:v>
      </x:c>
      <x:c r="B56" s="7" t="s">
        <x:v>71</x:v>
      </x:c>
      <x:c r="AD56" s="31"/>
      <x:c r="AE56" s="31"/>
      <x:c r="AF56" s="31"/>
      <x:c r="AG56" s="31"/>
    </x:row>
    <x:row r="57" ht="15.75" customHeight="1">
      <x:c r="A57" s="6" t="s">
        <x:v>17</x:v>
      </x:c>
      <x:c r="B57" s="7" t="s">
        <x:v>219</x:v>
      </x:c>
      <x:c r="AJ57" s="31"/>
      <x:c r="AK57" s="31"/>
    </x:row>
    <x:row r="58" ht="15.75" customHeight="1">
      <x:c r="A58" s="6" t="s">
        <x:v>17</x:v>
      </x:c>
      <x:c r="B58" s="7" t="s">
        <x:v>73</x:v>
      </x:c>
      <x:c r="AK58" s="31"/>
    </x:row>
    <x:row r="59" ht="15.75" customHeight="1">
      <x:c r="A59" s="6" t="s">
        <x:v>17</x:v>
      </x:c>
      <x:c r="B59" s="7" t="s">
        <x:v>74</x:v>
      </x:c>
      <x:c r="AL59" s="25"/>
    </x:row>
    <x:row r="60" ht="15.75" customHeight="1">
      <x:c r="A60" s="6" t="s">
        <x:v>17</x:v>
      </x:c>
      <x:c r="B60" s="7" t="s">
        <x:v>217</x:v>
      </x:c>
      <x:c r="AL60" s="30" t="s">
        <x:v>221</x:v>
      </x:c>
    </x:row>
    <x:row r="61" ht="15.75" customHeight="1">
      <x:c r="A61" s="6" t="s">
        <x:v>26</x:v>
      </x:c>
      <x:c r="B61" s="7" t="s">
        <x:v>174</x:v>
      </x:c>
      <x:c r="Y61" s="31"/>
      <x:c r="Z61" s="31"/>
    </x:row>
    <x:row r="62" ht="15.75" customHeight="1">
      <x:c r="A62" s="6" t="s">
        <x:v>26</x:v>
      </x:c>
      <x:c r="B62" s="7" t="s">
        <x:v>111</x:v>
      </x:c>
      <x:c r="AA62" s="31"/>
    </x:row>
    <x:row r="63" ht="15.75" customHeight="1">
      <x:c r="A63" s="6" t="s">
        <x:v>26</x:v>
      </x:c>
      <x:c r="B63" s="7" t="s">
        <x:v>112</x:v>
      </x:c>
      <x:c r="AA63" s="31"/>
      <x:c r="AB63" s="31"/>
    </x:row>
    <x:row r="64" ht="15.75" customHeight="1">
      <x:c r="A64" s="6" t="s">
        <x:v>26</x:v>
      </x:c>
      <x:c r="B64" s="7" t="s">
        <x:v>113</x:v>
      </x:c>
      <x:c r="AA64" s="31"/>
      <x:c r="AB64" s="31"/>
      <x:c r="AC64" s="31"/>
    </x:row>
    <x:row r="65" ht="15.75" customHeight="1">
      <x:c r="A65" s="6" t="s">
        <x:v>26</x:v>
      </x:c>
      <x:c r="B65" s="7" t="s">
        <x:v>114</x:v>
      </x:c>
      <x:c r="AB65" s="31"/>
      <x:c r="AC65" s="31"/>
      <x:c r="AD65" s="31"/>
    </x:row>
    <x:row r="66" ht="15.75" customHeight="1">
      <x:c r="A66" s="6" t="s">
        <x:v>26</x:v>
      </x:c>
      <x:c r="B66" s="7" t="s">
        <x:v>115</x:v>
      </x:c>
      <x:c r="AB66" s="31"/>
    </x:row>
    <x:row r="67" ht="15.75" customHeight="1">
      <x:c r="A67" s="6" t="s">
        <x:v>26</x:v>
      </x:c>
      <x:c r="B67" s="7" t="s">
        <x:v>116</x:v>
      </x:c>
      <x:c r="AB67" s="31"/>
    </x:row>
    <x:row r="68" ht="15.75" customHeight="1">
      <x:c r="A68" s="6" t="s">
        <x:v>26</x:v>
      </x:c>
      <x:c r="B68" s="7" t="s">
        <x:v>70</x:v>
      </x:c>
      <x:c r="AD68" s="31"/>
      <x:c r="AE68" s="31"/>
    </x:row>
    <x:row r="69" ht="15.75" customHeight="1">
      <x:c r="A69" s="6" t="s">
        <x:v>26</x:v>
      </x:c>
      <x:c r="B69" s="7" t="s">
        <x:v>71</x:v>
      </x:c>
      <x:c r="AD69" s="31"/>
      <x:c r="AE69" s="31"/>
    </x:row>
    <x:row r="70" ht="15.75" customHeight="1">
      <x:c r="A70" s="6" t="s">
        <x:v>26</x:v>
      </x:c>
      <x:c r="B70" s="7" t="s">
        <x:v>219</x:v>
      </x:c>
      <x:c r="AE70" s="31"/>
    </x:row>
    <x:row r="71" ht="15.75" customHeight="1">
      <x:c r="A71" s="6" t="s">
        <x:v>26</x:v>
      </x:c>
      <x:c r="B71" s="7" t="s">
        <x:v>73</x:v>
      </x:c>
      <x:c r="AE71" s="31"/>
      <x:c r="AF71" s="31"/>
    </x:row>
    <x:row r="72" ht="15.75" customHeight="1">
      <x:c r="A72" s="6" t="s">
        <x:v>26</x:v>
      </x:c>
      <x:c r="B72" s="7" t="s">
        <x:v>74</x:v>
      </x:c>
      <x:c r="AF72" s="31"/>
      <x:c r="AG72" s="31"/>
    </x:row>
    <x:row r="73" ht="15.75" customHeight="1">
      <x:c r="A73" s="6" t="s">
        <x:v>26</x:v>
      </x:c>
      <x:c r="B73" s="7" t="s">
        <x:v>217</x:v>
      </x:c>
      <x:c r="AF73" s="31"/>
      <x:c r="AG73" s="31"/>
    </x:row>
    <x:row r="74" ht="15.75" customHeight="1">
      <x:c r="A74" s="6" t="s">
        <x:v>222</x:v>
      </x:c>
      <x:c r="B74" s="7" t="s">
        <x:v>174</x:v>
      </x:c>
      <x:c r="C74" s="7"/>
      <x:c r="Y74" s="31"/>
      <x:c r="Z74" s="31"/>
      <x:c r="AA74" s="31"/>
    </x:row>
    <x:row r="75" ht="15.75" customHeight="1">
      <x:c r="A75" s="6" t="s">
        <x:v>222</x:v>
      </x:c>
      <x:c r="B75" s="7" t="s">
        <x:v>111</x:v>
      </x:c>
      <x:c r="C75" s="7"/>
      <x:c r="AA75" s="31"/>
      <x:c r="AB75" s="31"/>
    </x:row>
    <x:row r="76" ht="15.75" customHeight="1">
      <x:c r="A76" s="6" t="s">
        <x:v>222</x:v>
      </x:c>
      <x:c r="B76" s="7" t="s">
        <x:v>112</x:v>
      </x:c>
      <x:c r="AA76" s="31"/>
      <x:c r="AB76" s="31"/>
    </x:row>
    <x:row r="77" ht="15.75" customHeight="1">
      <x:c r="A77" s="6" t="s">
        <x:v>222</x:v>
      </x:c>
      <x:c r="B77" s="7" t="s">
        <x:v>113</x:v>
      </x:c>
      <x:c r="AA77" s="31"/>
      <x:c r="AB77" s="31"/>
    </x:row>
    <x:row r="78" ht="15.75" customHeight="1">
      <x:c r="A78" s="6" t="s">
        <x:v>222</x:v>
      </x:c>
      <x:c r="B78" s="7" t="s">
        <x:v>114</x:v>
      </x:c>
      <x:c r="AA78" s="31"/>
      <x:c r="AB78" s="31"/>
    </x:row>
    <x:row r="79" ht="15.75" customHeight="1">
      <x:c r="A79" s="6" t="s">
        <x:v>222</x:v>
      </x:c>
      <x:c r="B79" s="7" t="s">
        <x:v>115</x:v>
      </x:c>
      <x:c r="AA79" s="31"/>
      <x:c r="AB79" s="31"/>
    </x:row>
    <x:row r="80" ht="15.75" customHeight="1">
      <x:c r="A80" s="6" t="s">
        <x:v>222</x:v>
      </x:c>
      <x:c r="B80" s="7" t="s">
        <x:v>116</x:v>
      </x:c>
      <x:c r="AA80" s="31"/>
      <x:c r="AB80" s="31"/>
    </x:row>
    <x:row r="81" ht="15.75" customHeight="1">
      <x:c r="A81" s="6" t="s">
        <x:v>222</x:v>
      </x:c>
      <x:c r="B81" s="7" t="s">
        <x:v>70</x:v>
      </x:c>
      <x:c r="AA81" s="31"/>
      <x:c r="AB81" s="31"/>
      <x:c r="AC81" s="31"/>
    </x:row>
    <x:row r="82" ht="15.75" customHeight="1">
      <x:c r="A82" s="6" t="s">
        <x:v>222</x:v>
      </x:c>
      <x:c r="B82" s="7" t="s">
        <x:v>71</x:v>
      </x:c>
      <x:c r="AA82" s="31"/>
      <x:c r="AB82" s="31"/>
      <x:c r="AC82" s="31"/>
    </x:row>
    <x:row r="83" ht="15.75" customHeight="1">
      <x:c r="A83" s="6" t="s">
        <x:v>222</x:v>
      </x:c>
      <x:c r="B83" s="7" t="s">
        <x:v>219</x:v>
      </x:c>
      <x:c r="AE83" s="31"/>
      <x:c r="AF83" s="31"/>
    </x:row>
    <x:row r="84" ht="15.75" customHeight="1">
      <x:c r="A84" s="6" t="s">
        <x:v>222</x:v>
      </x:c>
      <x:c r="B84" s="7" t="s">
        <x:v>73</x:v>
      </x:c>
      <x:c r="AG84" s="31"/>
    </x:row>
    <x:row r="85" ht="15.75" customHeight="1">
      <x:c r="A85" s="6" t="s">
        <x:v>222</x:v>
      </x:c>
      <x:c r="B85" s="7" t="s">
        <x:v>74</x:v>
      </x:c>
      <x:c r="AG85" s="31"/>
    </x:row>
    <x:row r="86" ht="15.75" customHeight="1">
      <x:c r="A86" s="6" t="s">
        <x:v>222</x:v>
      </x:c>
      <x:c r="B86" s="7" t="s">
        <x:v>217</x:v>
      </x:c>
      <x:c r="AH86" s="31"/>
    </x:row>
    <x:row r="87" ht="15.75" customHeight="1">
      <x:c r="A87" s="6" t="s">
        <x:v>24</x:v>
      </x:c>
      <x:c r="B87" s="32" t="s">
        <x:v>131</x:v>
      </x:c>
      <x:c r="Y87" s="31"/>
    </x:row>
    <x:row r="88" ht="15.75" customHeight="1">
      <x:c r="A88" s="6" t="s">
        <x:v>24</x:v>
      </x:c>
      <x:c r="B88" s="32" t="s">
        <x:v>133</x:v>
      </x:c>
      <x:c r="Y88" s="31"/>
    </x:row>
    <x:row r="89" ht="15.75" customHeight="1">
      <x:c r="A89" s="6" t="s">
        <x:v>24</x:v>
      </x:c>
      <x:c r="B89" s="32" t="s">
        <x:v>134</x:v>
      </x:c>
      <x:c r="Y89" s="31"/>
    </x:row>
    <x:row r="90" ht="15.75" customHeight="1">
      <x:c r="A90" s="6" t="s">
        <x:v>24</x:v>
      </x:c>
      <x:c r="B90" s="32" t="s">
        <x:v>135</x:v>
      </x:c>
      <x:c r="Y90" s="31"/>
    </x:row>
    <x:row r="91" ht="15.75" customHeight="1">
      <x:c r="A91" s="6" t="s">
        <x:v>24</x:v>
      </x:c>
      <x:c r="B91" s="32" t="s">
        <x:v>136</x:v>
      </x:c>
      <x:c r="Y91" s="31"/>
    </x:row>
    <x:row r="92" ht="15.75" customHeight="1">
      <x:c r="A92" s="6" t="s">
        <x:v>24</x:v>
      </x:c>
      <x:c r="B92" s="32" t="s">
        <x:v>137</x:v>
      </x:c>
      <x:c r="Y92" s="31"/>
    </x:row>
    <x:row r="93" ht="15.75" customHeight="1">
      <x:c r="A93" s="6" t="s">
        <x:v>24</x:v>
      </x:c>
      <x:c r="B93" s="33" t="s">
        <x:v>138</x:v>
      </x:c>
      <x:c r="Y93" s="31"/>
    </x:row>
    <x:row r="94" ht="15.75" customHeight="1">
      <x:c r="A94" s="6" t="s">
        <x:v>24</x:v>
      </x:c>
      <x:c r="B94" s="33" t="s">
        <x:v>139</x:v>
      </x:c>
      <x:c r="Y94" s="31"/>
    </x:row>
    <x:row r="95" ht="15.75" customHeight="1">
      <x:c r="A95" s="6" t="s">
        <x:v>24</x:v>
      </x:c>
      <x:c r="B95" s="7" t="s">
        <x:v>70</x:v>
      </x:c>
      <x:c r="Y95" s="31"/>
    </x:row>
    <x:row r="96" ht="15.75" customHeight="1">
      <x:c r="A96" s="6" t="s">
        <x:v>24</x:v>
      </x:c>
      <x:c r="B96" s="7" t="s">
        <x:v>71</x:v>
      </x:c>
      <x:c r="Y96" s="31"/>
    </x:row>
    <x:row r="97" ht="15.75" customHeight="1">
      <x:c r="A97" s="6" t="s">
        <x:v>24</x:v>
      </x:c>
      <x:c r="B97" s="7" t="s">
        <x:v>219</x:v>
      </x:c>
      <x:c r="Y97" s="31"/>
    </x:row>
    <x:row r="98" ht="15.75" customHeight="1">
      <x:c r="A98" s="6" t="s">
        <x:v>24</x:v>
      </x:c>
      <x:c r="B98" s="7" t="s">
        <x:v>73</x:v>
      </x:c>
      <x:c r="Y98" s="31"/>
    </x:row>
    <x:row r="99" ht="15.75" customHeight="1">
      <x:c r="A99" s="6" t="s">
        <x:v>24</x:v>
      </x:c>
      <x:c r="B99" s="7" t="s">
        <x:v>74</x:v>
      </x:c>
    </x:row>
    <x:row r="100" ht="15.75" customHeight="1">
      <x:c r="A100" s="6" t="s">
        <x:v>24</x:v>
      </x:c>
      <x:c r="B100" s="7" t="s">
        <x:v>217</x:v>
      </x:c>
      <x:c r="Y100" s="31"/>
    </x:row>
    <x:row r="101" ht="15.75" customHeight="1">
      <x:c r="A101" s="6" t="s">
        <x:v>22</x:v>
      </x:c>
      <x:c r="B101" s="32" t="s">
        <x:v>117</x:v>
      </x:c>
      <x:c r="AC101" s="31"/>
      <x:c r="AD101" s="31"/>
    </x:row>
    <x:row r="102" ht="15.75" customHeight="1">
      <x:c r="A102" s="6" t="s">
        <x:v>22</x:v>
      </x:c>
      <x:c r="B102" s="32" t="s">
        <x:v>119</x:v>
      </x:c>
      <x:c r="AC102" s="31"/>
      <x:c r="AD102" s="31"/>
    </x:row>
    <x:row r="103" ht="15.75" customHeight="1">
      <x:c r="A103" s="6" t="s">
        <x:v>22</x:v>
      </x:c>
      <x:c r="B103" s="32" t="s">
        <x:v>120</x:v>
      </x:c>
      <x:c r="AC103" s="31"/>
      <x:c r="AD103" s="31"/>
    </x:row>
    <x:row r="104" ht="15.75" customHeight="1">
      <x:c r="A104" s="6" t="s">
        <x:v>22</x:v>
      </x:c>
      <x:c r="B104" s="32" t="s">
        <x:v>121</x:v>
      </x:c>
      <x:c r="AC104" s="31"/>
      <x:c r="AD104" s="31"/>
    </x:row>
    <x:row r="105" ht="15.75" customHeight="1">
      <x:c r="A105" s="6" t="s">
        <x:v>22</x:v>
      </x:c>
      <x:c r="B105" s="32" t="s">
        <x:v>122</x:v>
      </x:c>
      <x:c r="AC105" s="31"/>
      <x:c r="AD105" s="31"/>
    </x:row>
    <x:row r="106" ht="15.75" customHeight="1">
      <x:c r="A106" s="6" t="s">
        <x:v>22</x:v>
      </x:c>
      <x:c r="B106" s="32" t="s">
        <x:v>123</x:v>
      </x:c>
      <x:c r="AC106" s="31"/>
      <x:c r="AD106" s="31"/>
    </x:row>
    <x:row r="107" ht="15.75" customHeight="1">
      <x:c r="A107" s="6" t="s">
        <x:v>22</x:v>
      </x:c>
      <x:c r="B107" s="32" t="s">
        <x:v>124</x:v>
      </x:c>
      <x:c r="AC107" s="31"/>
      <x:c r="AD107" s="31"/>
    </x:row>
    <x:row r="108" ht="15.75" customHeight="1">
      <x:c r="A108" s="6" t="s">
        <x:v>22</x:v>
      </x:c>
      <x:c r="B108" s="32" t="s">
        <x:v>125</x:v>
      </x:c>
      <x:c r="AC108" s="31"/>
      <x:c r="AD108" s="31"/>
    </x:row>
    <x:row r="109" ht="15.75" customHeight="1">
      <x:c r="A109" s="6" t="s">
        <x:v>22</x:v>
      </x:c>
      <x:c r="B109" s="32" t="s">
        <x:v>126</x:v>
      </x:c>
      <x:c r="AC109" s="31"/>
      <x:c r="AD109" s="31"/>
    </x:row>
    <x:row r="110" ht="15.75" customHeight="1">
      <x:c r="A110" s="6" t="s">
        <x:v>22</x:v>
      </x:c>
      <x:c r="B110" s="32" t="s">
        <x:v>127</x:v>
      </x:c>
      <x:c r="AC110" s="31"/>
      <x:c r="AD110" s="31"/>
    </x:row>
    <x:row r="111" ht="15.75" customHeight="1">
      <x:c r="A111" s="6" t="s">
        <x:v>22</x:v>
      </x:c>
      <x:c r="B111" s="32" t="s">
        <x:v>128</x:v>
      </x:c>
      <x:c r="AC111" s="31"/>
      <x:c r="AD111" s="31"/>
    </x:row>
    <x:row r="112" ht="15.75" customHeight="1">
      <x:c r="A112" s="6" t="s">
        <x:v>22</x:v>
      </x:c>
      <x:c r="B112" s="32" t="s">
        <x:v>129</x:v>
      </x:c>
      <x:c r="AC112" s="31"/>
      <x:c r="AD112" s="31"/>
    </x:row>
    <x:row r="113" ht="15.75" customHeight="1">
      <x:c r="A113" s="6" t="s">
        <x:v>22</x:v>
      </x:c>
      <x:c r="B113" s="32" t="s">
        <x:v>130</x:v>
      </x:c>
      <x:c r="AC113" s="31"/>
      <x:c r="AD113" s="31"/>
    </x:row>
    <x:row r="114" ht="15.75" customHeight="1">
      <x:c r="A114" s="6" t="s">
        <x:v>22</x:v>
      </x:c>
      <x:c r="B114" s="7" t="s">
        <x:v>70</x:v>
      </x:c>
      <x:c r="AC114" s="31"/>
      <x:c r="AD114" s="31"/>
    </x:row>
    <x:row r="115" ht="15.75" customHeight="1">
      <x:c r="A115" s="6" t="s">
        <x:v>22</x:v>
      </x:c>
      <x:c r="B115" s="7" t="s">
        <x:v>71</x:v>
      </x:c>
      <x:c r="AC115" s="31"/>
      <x:c r="AD115" s="31"/>
    </x:row>
    <x:row r="116" ht="15.75" customHeight="1">
      <x:c r="A116" s="6" t="s">
        <x:v>22</x:v>
      </x:c>
      <x:c r="B116" s="7" t="s">
        <x:v>219</x:v>
      </x:c>
      <x:c r="Z116" s="31"/>
      <x:c r="AA116" s="31"/>
      <x:c r="AB116" s="31"/>
    </x:row>
    <x:row r="117" ht="15.75" customHeight="1">
      <x:c r="A117" s="6" t="s">
        <x:v>22</x:v>
      </x:c>
      <x:c r="B117" s="7" t="s">
        <x:v>73</x:v>
      </x:c>
      <x:c r="AG117" s="31"/>
    </x:row>
    <x:row r="118" ht="15.75" customHeight="1">
      <x:c r="A118" s="6" t="s">
        <x:v>22</x:v>
      </x:c>
      <x:c r="B118" s="7" t="s">
        <x:v>74</x:v>
      </x:c>
      <x:c r="AF118" s="31"/>
    </x:row>
    <x:row r="119" ht="15.75" customHeight="1">
      <x:c r="A119" s="6" t="s">
        <x:v>22</x:v>
      </x:c>
      <x:c r="B119" s="7" t="s">
        <x:v>217</x:v>
      </x:c>
      <x:c r="AH119" s="31"/>
    </x:row>
    <x:row r="120" ht="15.75" customHeight="1">
      <x:c r="A120" s="6" t="s">
        <x:v>223</x:v>
      </x:c>
      <x:c r="B120" s="32" t="s">
        <x:v>224</x:v>
      </x:c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6"/>
      <x:c r="X120" s="46"/>
      <x:c r="Y120" s="45"/>
      <x:c r="Z120" s="44"/>
      <x:c r="AA120" s="44"/>
      <x:c r="AB120" s="44"/>
      <x:c r="AC120" s="44"/>
      <x:c r="AD120" s="44"/>
      <x:c r="AE120" s="44"/>
      <x:c r="AF120" s="44"/>
      <x:c r="AG120" s="44"/>
      <x:c r="AH120" s="44"/>
      <x:c r="AI120" s="44"/>
      <x:c r="AJ120" s="44"/>
      <x:c r="AK120" s="44"/>
      <x:c r="AL120" s="44"/>
    </x:row>
    <x:row r="121" ht="15.75" customHeight="1">
      <x:c r="A121" s="6" t="s">
        <x:v>223</x:v>
      </x:c>
      <x:c r="B121" s="33" t="s">
        <x:v>140</x:v>
      </x:c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7"/>
      <x:c r="Z121" s="46"/>
      <x:c r="AA121" s="46"/>
      <x:c r="AB121" s="46"/>
      <x:c r="AC121" s="46"/>
      <x:c r="AD121" s="46"/>
      <x:c r="AE121" s="47"/>
      <x:c r="AF121" s="46"/>
      <x:c r="AG121" s="47"/>
      <x:c r="AH121" s="47"/>
      <x:c r="AI121" s="44"/>
      <x:c r="AJ121" s="44"/>
      <x:c r="AK121" s="44"/>
      <x:c r="AL121" s="44"/>
    </x:row>
    <x:row r="122" ht="15.75" customHeight="1">
      <x:c r="A122" s="6" t="s">
        <x:v>223</x:v>
      </x:c>
      <x:c r="B122" s="33" t="s">
        <x:v>141</x:v>
      </x:c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7"/>
      <x:c r="Z122" s="46"/>
      <x:c r="AA122" s="46"/>
      <x:c r="AB122" s="46"/>
      <x:c r="AC122" s="46"/>
      <x:c r="AD122" s="46"/>
      <x:c r="AE122" s="47"/>
      <x:c r="AF122" s="46"/>
      <x:c r="AG122" s="47"/>
      <x:c r="AH122" s="47"/>
      <x:c r="AI122" s="44"/>
      <x:c r="AJ122" s="44"/>
      <x:c r="AK122" s="44"/>
      <x:c r="AL122" s="44"/>
    </x:row>
    <x:row r="123" ht="15.75" customHeight="1">
      <x:c r="A123" s="6" t="s">
        <x:v>223</x:v>
      </x:c>
      <x:c r="B123" s="33" t="s">
        <x:v>142</x:v>
      </x:c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7"/>
      <x:c r="Z123" s="46"/>
      <x:c r="AA123" s="46"/>
      <x:c r="AB123" s="46"/>
      <x:c r="AC123" s="46"/>
      <x:c r="AD123" s="46"/>
      <x:c r="AE123" s="47"/>
      <x:c r="AF123" s="46"/>
      <x:c r="AG123" s="47"/>
      <x:c r="AH123" s="47"/>
      <x:c r="AI123" s="44"/>
      <x:c r="AJ123" s="44"/>
      <x:c r="AK123" s="44"/>
      <x:c r="AL123" s="44"/>
    </x:row>
    <x:row r="124" ht="15.75" customHeight="1">
      <x:c r="A124" s="6" t="s">
        <x:v>223</x:v>
      </x:c>
      <x:c r="B124" s="33" t="s">
        <x:v>143</x:v>
      </x:c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7"/>
      <x:c r="Z124" s="46"/>
      <x:c r="AA124" s="46"/>
      <x:c r="AB124" s="46"/>
      <x:c r="AC124" s="46"/>
      <x:c r="AD124" s="46"/>
      <x:c r="AE124" s="47"/>
      <x:c r="AF124" s="46"/>
      <x:c r="AG124" s="47"/>
      <x:c r="AH124" s="47"/>
      <x:c r="AI124" s="44"/>
      <x:c r="AJ124" s="44"/>
      <x:c r="AK124" s="44"/>
      <x:c r="AL124" s="44"/>
    </x:row>
    <x:row r="125" ht="15.75" customHeight="1">
      <x:c r="A125" s="6" t="s">
        <x:v>223</x:v>
      </x:c>
      <x:c r="B125" s="33" t="s">
        <x:v>144</x:v>
      </x:c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7"/>
      <x:c r="Z125" s="46"/>
      <x:c r="AA125" s="46"/>
      <x:c r="AB125" s="46"/>
      <x:c r="AC125" s="46"/>
      <x:c r="AD125" s="46"/>
      <x:c r="AE125" s="47"/>
      <x:c r="AF125" s="46"/>
      <x:c r="AG125" s="47"/>
      <x:c r="AH125" s="47"/>
      <x:c r="AI125" s="44"/>
      <x:c r="AJ125" s="44"/>
      <x:c r="AK125" s="44"/>
      <x:c r="AL125" s="44"/>
    </x:row>
    <x:row r="126" ht="15.75" customHeight="1">
      <x:c r="A126" s="6" t="s">
        <x:v>223</x:v>
      </x:c>
      <x:c r="B126" s="33" t="s">
        <x:v>145</x:v>
      </x:c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7"/>
      <x:c r="Z126" s="46"/>
      <x:c r="AA126" s="46"/>
      <x:c r="AB126" s="46"/>
      <x:c r="AC126" s="46"/>
      <x:c r="AD126" s="46"/>
      <x:c r="AE126" s="47"/>
      <x:c r="AF126" s="46"/>
      <x:c r="AG126" s="47"/>
      <x:c r="AH126" s="47"/>
      <x:c r="AI126" s="44"/>
      <x:c r="AJ126" s="44"/>
      <x:c r="AK126" s="44"/>
      <x:c r="AL126" s="44"/>
    </x:row>
    <x:row r="127" ht="15.75" customHeight="1">
      <x:c r="A127" s="6" t="s">
        <x:v>223</x:v>
      </x:c>
      <x:c r="B127" s="33" t="s">
        <x:v>146</x:v>
      </x:c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7"/>
      <x:c r="Z127" s="46"/>
      <x:c r="AA127" s="46"/>
      <x:c r="AB127" s="46"/>
      <x:c r="AC127" s="46"/>
      <x:c r="AD127" s="46"/>
      <x:c r="AE127" s="47"/>
      <x:c r="AF127" s="46"/>
      <x:c r="AG127" s="47"/>
      <x:c r="AH127" s="47"/>
      <x:c r="AI127" s="44"/>
      <x:c r="AJ127" s="44"/>
      <x:c r="AK127" s="44"/>
      <x:c r="AL127" s="44"/>
    </x:row>
    <x:row r="128" ht="15.75" customHeight="1">
      <x:c r="A128" s="6" t="s">
        <x:v>223</x:v>
      </x:c>
      <x:c r="B128" s="33" t="s">
        <x:v>147</x:v>
      </x:c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7"/>
      <x:c r="Z128" s="46"/>
      <x:c r="AA128" s="46"/>
      <x:c r="AB128" s="46"/>
      <x:c r="AC128" s="46"/>
      <x:c r="AD128" s="46"/>
      <x:c r="AE128" s="47"/>
      <x:c r="AF128" s="46"/>
      <x:c r="AG128" s="47"/>
      <x:c r="AH128" s="47"/>
      <x:c r="AI128" s="44"/>
      <x:c r="AJ128" s="44"/>
      <x:c r="AK128" s="44"/>
      <x:c r="AL128" s="44"/>
    </x:row>
    <x:row r="129" ht="15.75" customHeight="1">
      <x:c r="A129" s="6" t="s">
        <x:v>223</x:v>
      </x:c>
      <x:c r="B129" s="33" t="s">
        <x:v>148</x:v>
      </x:c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7"/>
      <x:c r="Z129" s="46"/>
      <x:c r="AA129" s="46"/>
      <x:c r="AB129" s="46"/>
      <x:c r="AC129" s="46"/>
      <x:c r="AD129" s="46"/>
      <x:c r="AE129" s="47"/>
      <x:c r="AF129" s="46"/>
      <x:c r="AG129" s="47"/>
      <x:c r="AH129" s="47"/>
      <x:c r="AI129" s="44"/>
      <x:c r="AJ129" s="44"/>
      <x:c r="AK129" s="44"/>
      <x:c r="AL129" s="44"/>
    </x:row>
    <x:row r="130" ht="15.75" customHeight="1">
      <x:c r="A130" s="6" t="s">
        <x:v>223</x:v>
      </x:c>
      <x:c r="B130" s="40" t="s">
        <x:v>149</x:v>
      </x:c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7"/>
      <x:c r="Z130" s="46"/>
      <x:c r="AA130" s="46"/>
      <x:c r="AB130" s="46"/>
      <x:c r="AC130" s="46"/>
      <x:c r="AD130" s="46"/>
      <x:c r="AE130" s="47"/>
      <x:c r="AF130" s="46"/>
      <x:c r="AG130" s="47"/>
      <x:c r="AH130" s="47"/>
      <x:c r="AI130" s="44"/>
      <x:c r="AJ130" s="44"/>
      <x:c r="AK130" s="44"/>
      <x:c r="AL130" s="44"/>
    </x:row>
    <x:row r="131" ht="15.75" customHeight="1">
      <x:c r="A131" s="6" t="s">
        <x:v>223</x:v>
      </x:c>
      <x:c r="B131" s="41" t="s">
        <x:v>150</x:v>
      </x:c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7"/>
      <x:c r="Z131" s="46"/>
      <x:c r="AA131" s="46"/>
      <x:c r="AB131" s="46"/>
      <x:c r="AC131" s="46"/>
      <x:c r="AD131" s="46"/>
      <x:c r="AE131" s="47"/>
      <x:c r="AF131" s="46"/>
      <x:c r="AG131" s="47"/>
      <x:c r="AH131" s="47"/>
      <x:c r="AI131" s="44"/>
      <x:c r="AJ131" s="44"/>
      <x:c r="AK131" s="44"/>
      <x:c r="AL131" s="44"/>
    </x:row>
    <x:row r="132" ht="15.75" customHeight="1">
      <x:c r="A132" s="6" t="s">
        <x:v>223</x:v>
      </x:c>
      <x:c r="B132" s="7" t="s">
        <x:v>70</x:v>
      </x:c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  <x:c r="AA132" s="44"/>
      <x:c r="AB132" s="44"/>
      <x:c r="AC132" s="44"/>
      <x:c r="AD132" s="44"/>
      <x:c r="AE132" s="44"/>
      <x:c r="AF132" s="45"/>
      <x:c r="AG132" s="45"/>
      <x:c r="AH132" s="44"/>
      <x:c r="AI132" s="47"/>
      <x:c r="AJ132" s="44"/>
      <x:c r="AK132" s="44"/>
      <x:c r="AL132" s="44"/>
    </x:row>
    <x:row r="133" ht="15.75" customHeight="1">
      <x:c r="A133" s="6" t="s">
        <x:v>223</x:v>
      </x:c>
      <x:c r="B133" s="7" t="s">
        <x:v>71</x:v>
      </x:c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  <x:c r="AA133" s="44"/>
      <x:c r="AB133" s="44"/>
      <x:c r="AC133" s="44"/>
      <x:c r="AD133" s="44"/>
      <x:c r="AE133" s="44"/>
      <x:c r="AF133" s="45"/>
      <x:c r="AG133" s="45"/>
      <x:c r="AH133" s="44"/>
      <x:c r="AI133" s="44"/>
      <x:c r="AJ133" s="47"/>
      <x:c r="AK133" s="47"/>
      <x:c r="AL133" s="44"/>
    </x:row>
    <x:row r="134" ht="15.75" customHeight="1">
      <x:c r="A134" s="6" t="s">
        <x:v>223</x:v>
      </x:c>
      <x:c r="B134" s="7" t="s">
        <x:v>219</x:v>
      </x:c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  <x:c r="AA134" s="44"/>
      <x:c r="AB134" s="44"/>
      <x:c r="AC134" s="44"/>
      <x:c r="AD134" s="44"/>
      <x:c r="AE134" s="44"/>
      <x:c r="AF134" s="44"/>
      <x:c r="AG134" s="45"/>
      <x:c r="AH134" s="44"/>
      <x:c r="AI134" s="44"/>
      <x:c r="AJ134" s="44"/>
      <x:c r="AK134" s="44"/>
      <x:c r="AL134" s="47"/>
    </x:row>
    <x:row r="135" ht="15.75" customHeight="1">
      <x:c r="A135" s="6" t="s">
        <x:v>223</x:v>
      </x:c>
      <x:c r="B135" s="7" t="s">
        <x:v>225</x:v>
      </x:c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  <x:c r="AA135" s="44"/>
      <x:c r="AB135" s="44"/>
      <x:c r="AC135" s="44"/>
      <x:c r="AD135" s="44"/>
      <x:c r="AE135" s="45"/>
      <x:c r="AF135" s="45"/>
      <x:c r="AG135" s="45"/>
      <x:c r="AH135" s="44"/>
      <x:c r="AI135" s="44"/>
      <x:c r="AJ135" s="44"/>
      <x:c r="AK135" s="44"/>
      <x:c r="AL135" s="44"/>
    </x:row>
    <x:row r="136" ht="15.75" customHeight="1">
      <x:c r="A136" s="6" t="s">
        <x:v>223</x:v>
      </x:c>
      <x:c r="B136" s="7" t="s">
        <x:v>73</x:v>
      </x:c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  <x:c r="AA136" s="44"/>
      <x:c r="AB136" s="44"/>
      <x:c r="AC136" s="44"/>
      <x:c r="AD136" s="45"/>
      <x:c r="AE136" s="44"/>
      <x:c r="AF136" s="45"/>
      <x:c r="AG136" s="45"/>
      <x:c r="AH136" s="44"/>
      <x:c r="AI136" s="44"/>
      <x:c r="AJ136" s="44"/>
      <x:c r="AK136" s="44"/>
      <x:c r="AL136" s="44"/>
    </x:row>
    <x:row r="137" ht="15.75" customHeight="1">
      <x:c r="A137" s="6" t="s">
        <x:v>223</x:v>
      </x:c>
      <x:c r="B137" s="7" t="s">
        <x:v>74</x:v>
      </x:c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  <x:c r="AA137" s="44"/>
      <x:c r="AB137" s="44"/>
      <x:c r="AC137" s="44"/>
      <x:c r="AD137" s="44"/>
      <x:c r="AE137" s="44"/>
      <x:c r="AF137" s="45"/>
      <x:c r="AG137" s="44"/>
      <x:c r="AH137" s="44"/>
      <x:c r="AI137" s="44"/>
      <x:c r="AJ137" s="44"/>
      <x:c r="AK137" s="44"/>
      <x:c r="AL137" s="44"/>
    </x:row>
    <x:row r="138" ht="15.75" customHeight="1">
      <x:c r="A138" s="6" t="s">
        <x:v>223</x:v>
      </x:c>
      <x:c r="B138" s="7" t="s">
        <x:v>217</x:v>
      </x:c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  <x:c r="AA138" s="44"/>
      <x:c r="AB138" s="44"/>
      <x:c r="AC138" s="44"/>
      <x:c r="AD138" s="44"/>
      <x:c r="AE138" s="44"/>
      <x:c r="AF138" s="44"/>
      <x:c r="AG138" s="44"/>
      <x:c r="AH138" s="44"/>
      <x:c r="AI138" s="44"/>
      <x:c r="AJ138" s="44"/>
      <x:c r="AK138" s="44"/>
      <x:c r="AL138" s="44"/>
    </x:row>
    <x:row r="139" ht="15.75" customHeight="1"/>
    <x:row r="140" ht="15.75" customHeight="1">
      <x:c r="B140" s="33"/>
    </x:row>
    <x:row r="141" ht="15.75" customHeight="1">
      <x:c r="B141" s="33"/>
    </x:row>
    <x:row r="142" ht="15.75" customHeight="1">
      <x:c r="B142" s="33"/>
    </x:row>
    <x:row r="143" ht="15.75" customHeight="1">
      <x:c r="B143" s="33"/>
    </x:row>
    <x:row r="144" ht="15.75" customHeight="1">
      <x:c r="B144" s="33"/>
    </x:row>
    <x:row r="145" ht="15.75" customHeight="1">
      <x:c r="B145" s="33"/>
    </x:row>
    <x:row r="146" ht="15.75" customHeight="1">
      <x:c r="B146" s="33"/>
    </x:row>
    <x:row r="147" ht="15.75" customHeight="1">
      <x:c r="B147" s="33"/>
    </x:row>
    <x:row r="148" ht="15.75" customHeight="1">
      <x:c r="B148" s="33"/>
    </x:row>
    <x:row r="149" ht="15.75" customHeight="1">
      <x:c r="B149" s="40"/>
    </x:row>
    <x:row r="150" ht="15.75" customHeight="1">
      <x:c r="B150" s="41"/>
    </x:row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24" customWidth="1"/>
    <x:col min="2" max="2" width="50" customWidth="1"/>
    <x:col min="3" max="26" width="8.710000038146973" customWidth="1"/>
  </x:cols>
  <x:sheetData>
    <x:row r="1" ht="21.75" customHeight="1">
      <x:c r="A1" s="2" t="s">
        <x:v>226</x:v>
      </x:c>
    </x:row>
    <x:row r="4">
      <x:c r="A4" s="4" t="s">
        <x:v>9</x:v>
      </x:c>
      <x:c r="B4" s="4" t="s">
        <x:v>227</x:v>
      </x:c>
    </x:row>
    <x:row r="5">
      <x:c r="A5" s="34" t="s">
        <x:v>166</x:v>
      </x:c>
      <x:c r="B5" s="35" t="s">
        <x:v>228</x:v>
      </x:c>
    </x:row>
    <x:row r="6">
      <x:c r="A6" s="34" t="s">
        <x:v>78</x:v>
      </x:c>
      <x:c r="B6" s="35" t="s">
        <x:v>229</x:v>
      </x:c>
    </x:row>
    <x:row r="7">
      <x:c r="A7" s="34" t="s">
        <x:v>230</x:v>
      </x:c>
      <x:c r="B7" s="35" t="s">
        <x:v>231</x:v>
      </x:c>
    </x:row>
    <x:row r="8">
      <x:c r="A8" s="34" t="s">
        <x:v>232</x:v>
      </x:c>
      <x:c r="B8" s="35" t="s">
        <x:v>233</x:v>
      </x:c>
    </x:row>
    <x:row r="9">
      <x:c r="A9" s="34" t="s">
        <x:v>234</x:v>
      </x:c>
      <x:c r="B9" s="35" t="s">
        <x:v>235</x:v>
      </x:c>
    </x:row>
    <x:row r="10">
      <x:c r="A10" s="34" t="s">
        <x:v>236</x:v>
      </x:c>
      <x:c r="B10" s="35" t="s">
        <x:v>237</x:v>
      </x:c>
    </x:row>
    <x:row r="11">
      <x:c r="A11" s="34" t="s">
        <x:v>118</x:v>
      </x:c>
      <x:c r="B11" s="35" t="s">
        <x:v>238</x:v>
      </x:c>
    </x:row>
    <x:row r="12">
      <x:c r="A12" s="34" t="s">
        <x:v>132</x:v>
      </x:c>
      <x:c r="B12" s="35" t="s">
        <x:v>239</x:v>
      </x:c>
    </x:row>
    <x:row r="15">
      <x:c r="A15" s="36" t="s">
        <x:v>240</x:v>
      </x:c>
    </x:row>
    <x:row r="16">
      <x:c r="A16" s="4" t="s">
        <x:v>8</x:v>
      </x:c>
      <x:c r="B16" s="4" t="s">
        <x:v>241</x:v>
      </x:c>
    </x:row>
    <x:row r="17">
      <x:c r="A17" s="34" t="s">
        <x:v>242</x:v>
      </x:c>
      <x:c r="B17" s="37" t="s">
        <x:v>243</x:v>
      </x:c>
    </x:row>
    <x:row r="18">
      <x:c r="A18" s="34" t="s">
        <x:v>244</x:v>
      </x:c>
      <x:c r="B18" s="38" t="s">
        <x:v>245</x:v>
      </x:c>
    </x:row>
    <x:row r="19">
      <x:c r="A19" s="34" t="s">
        <x:v>246</x:v>
      </x:c>
      <x:c r="B19" s="39" t="s">
        <x:v>247</x:v>
      </x:c>
    </x:row>
    <x:row r="20">
      <x:c r="A20" s="34" t="s">
        <x:v>248</x:v>
      </x:c>
      <x:c r="B20" s="39" t="s">
        <x:v>249</x:v>
      </x:c>
    </x:row>
    <x:row r="21" ht="15.75" customHeight="1"/>
    <x:row r="22" ht="15.75" customHeight="1"/>
    <x:row r="23" ht="15.75" customHeight="1">
      <x:c r="A23" s="36" t="s">
        <x:v>250</x:v>
      </x:c>
    </x:row>
    <x:row r="24" ht="15" customHeight="1">
      <x:c r="A24" s="35" t="s">
        <x:v>251</x:v>
      </x:c>
    </x:row>
    <x:row r="25" ht="15" customHeight="1">
      <x:c r="A25" s="35" t="s">
        <x:v>252</x:v>
      </x:c>
    </x:row>
    <x:row r="26" ht="15" customHeight="1">
      <x:c r="A26" s="35" t="s">
        <x:v>253</x:v>
      </x:c>
    </x:row>
    <x:row r="27" ht="15" customHeight="1">
      <x:c r="A27" s="35" t="s">
        <x:v>254</x:v>
      </x:c>
    </x:row>
    <x:row r="28" ht="15" customHeight="1">
      <x:c r="A28" s="35" t="s">
        <x:v>255</x:v>
      </x:c>
    </x:row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B1"/>
    <x:mergeCell ref="A24:B24"/>
    <x:mergeCell ref="A25:B25"/>
    <x:mergeCell ref="A26:B26"/>
    <x:mergeCell ref="A27:B27"/>
    <x:mergeCell ref="A28:B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22" customWidth="1"/>
    <x:col min="2" max="2" width="70" customWidth="1"/>
    <x:col min="3" max="26" width="8.710000038146973" customWidth="1"/>
  </x:cols>
  <x:sheetData>
    <x:row r="1" ht="21.75" customHeight="1">
      <x:c r="A1" s="2" t="s">
        <x:v>256</x:v>
      </x:c>
    </x:row>
    <x:row r="4">
      <x:c r="A4" s="36" t="s">
        <x:v>257</x:v>
      </x:c>
    </x:row>
    <x:row r="5" ht="30" customHeight="1">
      <x:c r="A5" s="35" t="s">
        <x:v>258</x:v>
      </x:c>
    </x:row>
    <x:row r="7">
      <x:c r="A7" s="36" t="s">
        <x:v>259</x:v>
      </x:c>
    </x:row>
    <x:row r="8" ht="15" customHeight="1">
      <x:c r="A8" s="35" t="s">
        <x:v>260</x:v>
      </x:c>
    </x:row>
    <x:row r="9" ht="15" customHeight="1">
      <x:c r="A9" s="35" t="s">
        <x:v>261</x:v>
      </x:c>
    </x:row>
    <x:row r="10" ht="15" customHeight="1">
      <x:c r="A10" s="35" t="s">
        <x:v>262</x:v>
      </x:c>
    </x:row>
    <x:row r="11" ht="15" customHeight="1">
      <x:c r="A11" s="35" t="s">
        <x:v>263</x:v>
      </x:c>
    </x:row>
    <x:row r="12" ht="15" customHeight="1">
      <x:c r="A12" s="35" t="s">
        <x:v>264</x:v>
      </x:c>
    </x:row>
    <x:row r="14">
      <x:c r="A14" s="36" t="s">
        <x:v>265</x:v>
      </x:c>
    </x:row>
    <x:row r="15" ht="27.75" customHeight="1">
      <x:c r="A15" s="16" t="s">
        <x:v>66</x:v>
      </x:c>
      <x:c r="B15" s="35" t="s">
        <x:v>266</x:v>
      </x:c>
    </x:row>
    <x:row r="16" ht="27.75" customHeight="1">
      <x:c r="A16" s="16" t="s">
        <x:v>174</x:v>
      </x:c>
      <x:c r="B16" s="35" t="s">
        <x:v>267</x:v>
      </x:c>
    </x:row>
    <x:row r="17" ht="27.75" customHeight="1">
      <x:c r="A17" s="16" t="s">
        <x:v>68</x:v>
      </x:c>
      <x:c r="B17" s="35" t="s">
        <x:v>268</x:v>
      </x:c>
    </x:row>
    <x:row r="18" ht="27.75" customHeight="1">
      <x:c r="A18" s="16" t="s">
        <x:v>69</x:v>
      </x:c>
      <x:c r="B18" s="35" t="s">
        <x:v>269</x:v>
      </x:c>
    </x:row>
    <x:row r="19" ht="27.75" customHeight="1">
      <x:c r="A19" s="16" t="s">
        <x:v>70</x:v>
      </x:c>
      <x:c r="B19" s="35" t="s">
        <x:v>270</x:v>
      </x:c>
    </x:row>
    <x:row r="20" ht="27.75" customHeight="1">
      <x:c r="A20" s="16" t="s">
        <x:v>71</x:v>
      </x:c>
      <x:c r="B20" s="35" t="s">
        <x:v>271</x:v>
      </x:c>
    </x:row>
    <x:row r="21" ht="27.75" customHeight="1">
      <x:c r="A21" s="16" t="s">
        <x:v>72</x:v>
      </x:c>
      <x:c r="B21" s="35" t="s">
        <x:v>272</x:v>
      </x:c>
    </x:row>
    <x:row r="22" ht="27.75" customHeight="1">
      <x:c r="A22" s="16" t="s">
        <x:v>73</x:v>
      </x:c>
      <x:c r="B22" s="35" t="s">
        <x:v>273</x:v>
      </x:c>
    </x:row>
    <x:row r="23" ht="27.75" customHeight="1">
      <x:c r="A23" s="16" t="s">
        <x:v>74</x:v>
      </x:c>
      <x:c r="B23" s="35" t="s">
        <x:v>274</x:v>
      </x:c>
    </x:row>
    <x:row r="24" ht="27.75" customHeight="1">
      <x:c r="A24" s="16" t="s">
        <x:v>176</x:v>
      </x:c>
      <x:c r="B24" s="35" t="s">
        <x:v>275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B1"/>
    <x:mergeCell ref="A5:B5"/>
    <x:mergeCell ref="A8:B8"/>
    <x:mergeCell ref="A9:B9"/>
    <x:mergeCell ref="A10:B10"/>
    <x:mergeCell ref="A11:B11"/>
    <x:mergeCell ref="A12:B12"/>
  </x:mergeCells>
  <x:pageMargins left="0.7" right="0.7" top="0.75" bottom="0.75" header="0.3" footer="0.3"/>
</x:worksheet>
</file>